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PSYCHOPY EXPERIMENTS/Exp8 - Delay discounting/"/>
    </mc:Choice>
  </mc:AlternateContent>
  <xr:revisionPtr revIDLastSave="3" documentId="8_{E6A46948-A44C-4B30-84E8-154F69BCE39B}" xr6:coauthVersionLast="47" xr6:coauthVersionMax="47" xr10:uidLastSave="{F0A62957-5962-45DA-A232-02F7BE518041}"/>
  <bookViews>
    <workbookView xWindow="-108" yWindow="-108" windowWidth="23256" windowHeight="12456" xr2:uid="{ECE2A25D-D235-4A8E-86B5-5298892FC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O30" i="1" s="1"/>
  <c r="AP2" i="1" s="1"/>
  <c r="AN30" i="1"/>
  <c r="AN31" i="1"/>
  <c r="AN32" i="1"/>
  <c r="AN33" i="1"/>
  <c r="AO33" i="1" s="1"/>
  <c r="AN34" i="1"/>
  <c r="AN35" i="1"/>
  <c r="AN36" i="1"/>
  <c r="AN37" i="1"/>
  <c r="AN38" i="1"/>
  <c r="AN39" i="1"/>
  <c r="AN40" i="1"/>
  <c r="AN41" i="1"/>
  <c r="AN42" i="1"/>
  <c r="AN43" i="1"/>
  <c r="AO44" i="1" s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O61" i="1" s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O74" i="1" s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O104" i="1" s="1"/>
  <c r="AN104" i="1"/>
  <c r="AN105" i="1"/>
  <c r="AN106" i="1"/>
  <c r="AN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D44" i="1" s="1"/>
  <c r="AC45" i="1"/>
  <c r="AC46" i="1"/>
  <c r="AC47" i="1"/>
  <c r="AC48" i="1"/>
  <c r="AC49" i="1"/>
  <c r="AC50" i="1"/>
  <c r="AC51" i="1"/>
  <c r="AC52" i="1"/>
  <c r="AD52" i="1" s="1"/>
  <c r="AC53" i="1"/>
  <c r="AC54" i="1"/>
  <c r="AC55" i="1"/>
  <c r="AC56" i="1"/>
  <c r="AC57" i="1"/>
  <c r="AC58" i="1"/>
  <c r="AC59" i="1"/>
  <c r="AC60" i="1"/>
  <c r="AD60" i="1" s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D92" i="1" s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S50" i="1" s="1"/>
  <c r="T2" i="1" s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S73" i="1" s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S90" i="1" s="1"/>
  <c r="R90" i="1"/>
  <c r="R91" i="1"/>
  <c r="R92" i="1"/>
  <c r="R93" i="1"/>
  <c r="R94" i="1"/>
  <c r="R95" i="1"/>
  <c r="R96" i="1"/>
  <c r="R97" i="1"/>
  <c r="R98" i="1"/>
  <c r="R99" i="1"/>
  <c r="R100" i="1"/>
  <c r="S101" i="1" s="1"/>
  <c r="R101" i="1"/>
  <c r="R102" i="1"/>
  <c r="R103" i="1"/>
  <c r="R104" i="1"/>
  <c r="R105" i="1"/>
  <c r="S106" i="1" s="1"/>
  <c r="R106" i="1"/>
  <c r="R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H50" i="1" s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H77" i="1" s="1"/>
  <c r="G77" i="1"/>
  <c r="G78" i="1"/>
  <c r="G79" i="1"/>
  <c r="G80" i="1"/>
  <c r="G81" i="1"/>
  <c r="G82" i="1"/>
  <c r="H83" i="1" s="1"/>
  <c r="G83" i="1"/>
  <c r="G84" i="1"/>
  <c r="G85" i="1"/>
  <c r="G86" i="1"/>
  <c r="G87" i="1"/>
  <c r="G88" i="1"/>
  <c r="G89" i="1"/>
  <c r="G90" i="1"/>
  <c r="G91" i="1"/>
  <c r="G92" i="1"/>
  <c r="H92" i="1" s="1"/>
  <c r="G93" i="1"/>
  <c r="G94" i="1"/>
  <c r="G95" i="1"/>
  <c r="G96" i="1"/>
  <c r="G97" i="1"/>
  <c r="G98" i="1"/>
  <c r="G99" i="1"/>
  <c r="G100" i="1"/>
  <c r="G101" i="1"/>
  <c r="G102" i="1"/>
  <c r="H103" i="1" s="1"/>
  <c r="G103" i="1"/>
  <c r="G104" i="1"/>
  <c r="G105" i="1"/>
  <c r="G106" i="1"/>
  <c r="G2" i="1"/>
  <c r="H3" i="1" s="1"/>
  <c r="AO99" i="1"/>
  <c r="AO57" i="1"/>
  <c r="AO53" i="1"/>
  <c r="AO39" i="1"/>
  <c r="AD104" i="1"/>
  <c r="AD100" i="1"/>
  <c r="AD97" i="1"/>
  <c r="AD50" i="1"/>
  <c r="AD40" i="1"/>
  <c r="AD20" i="1"/>
  <c r="S103" i="1"/>
  <c r="S96" i="1"/>
  <c r="S88" i="1"/>
  <c r="S86" i="1"/>
  <c r="S77" i="1"/>
  <c r="S75" i="1"/>
  <c r="S55" i="1"/>
  <c r="S53" i="1"/>
  <c r="S45" i="1"/>
  <c r="S43" i="1"/>
  <c r="S40" i="1"/>
  <c r="S35" i="1"/>
  <c r="S30" i="1"/>
  <c r="S23" i="1"/>
  <c r="S19" i="1"/>
  <c r="S15" i="1"/>
  <c r="H97" i="1"/>
  <c r="H87" i="1"/>
  <c r="H80" i="1"/>
  <c r="H75" i="1"/>
  <c r="H73" i="1"/>
  <c r="H67" i="1"/>
  <c r="H46" i="1"/>
  <c r="AE2" i="1" l="1"/>
  <c r="I4" i="1"/>
</calcChain>
</file>

<file path=xl/sharedStrings.xml><?xml version="1.0" encoding="utf-8"?>
<sst xmlns="http://schemas.openxmlformats.org/spreadsheetml/2006/main" count="458" uniqueCount="19">
  <si>
    <t>Participant 1</t>
  </si>
  <si>
    <t>reward_today</t>
  </si>
  <si>
    <t>future_reward</t>
  </si>
  <si>
    <t>delay</t>
  </si>
  <si>
    <t>key_resp.keys</t>
  </si>
  <si>
    <t>l</t>
  </si>
  <si>
    <t>t</t>
  </si>
  <si>
    <t>K</t>
  </si>
  <si>
    <t>Geomean</t>
  </si>
  <si>
    <t>Average of geomean</t>
  </si>
  <si>
    <t>Participant 2</t>
  </si>
  <si>
    <t>Participant 3</t>
  </si>
  <si>
    <t xml:space="preserve">Participant 4 </t>
  </si>
  <si>
    <t>P1</t>
  </si>
  <si>
    <t>P2</t>
  </si>
  <si>
    <t>P3</t>
  </si>
  <si>
    <t>P4</t>
  </si>
  <si>
    <t>Participants</t>
  </si>
  <si>
    <t>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</si>
</sst>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7C234-CE44-4CF4-9858-ED80C1A87852}" name="Table1" displayName="Table1" ref="Q108:R112" totalsRowShown="0">
  <autoFilter ref="Q108:R112" xr:uid="{BB87C234-CE44-4CF4-9858-ED80C1A87852}"/>
  <tableColumns count="2">
    <tableColumn id="1" xr3:uid="{B9211F69-C7CF-46D0-9CA0-33635A342F61}" name="Participants"/>
    <tableColumn id="2" xr3:uid="{3D503B68-F3C1-4327-A0BB-A4E69F7AF4FE}" name="k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DA8C-9B58-4337-8089-4B2E4A725251}">
  <dimension ref="A1:AP112"/>
  <sheetViews>
    <sheetView tabSelected="1" topLeftCell="O102" zoomScale="110" workbookViewId="0">
      <selection activeCell="X112" sqref="X112"/>
    </sheetView>
  </sheetViews>
  <sheetFormatPr defaultRowHeight="14.4" x14ac:dyDescent="0.3"/>
  <cols>
    <col min="6" max="6" width="14.21875" customWidth="1"/>
    <col min="7" max="7" width="18" customWidth="1"/>
    <col min="8" max="8" width="21.77734375" customWidth="1"/>
    <col min="17" max="17" width="13.109375" bestFit="1" customWidth="1"/>
    <col min="18" max="18" width="12" bestFit="1" customWidth="1"/>
  </cols>
  <sheetData>
    <row r="1" spans="1:42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L1" t="s">
        <v>10</v>
      </c>
      <c r="N1" t="s">
        <v>1</v>
      </c>
      <c r="O1" t="s">
        <v>2</v>
      </c>
      <c r="P1" t="s">
        <v>3</v>
      </c>
      <c r="Q1" t="s">
        <v>4</v>
      </c>
      <c r="R1" t="s">
        <v>7</v>
      </c>
      <c r="S1" t="s">
        <v>8</v>
      </c>
      <c r="T1" t="s">
        <v>9</v>
      </c>
      <c r="W1" t="s">
        <v>11</v>
      </c>
      <c r="Y1" t="s">
        <v>1</v>
      </c>
      <c r="Z1" t="s">
        <v>2</v>
      </c>
      <c r="AA1" t="s">
        <v>3</v>
      </c>
      <c r="AB1" t="s">
        <v>4</v>
      </c>
      <c r="AC1" t="s">
        <v>7</v>
      </c>
      <c r="AD1" t="s">
        <v>8</v>
      </c>
      <c r="AE1" t="s">
        <v>9</v>
      </c>
      <c r="AH1" t="s">
        <v>12</v>
      </c>
      <c r="AJ1" t="s">
        <v>1</v>
      </c>
      <c r="AK1" t="s">
        <v>2</v>
      </c>
      <c r="AL1" t="s">
        <v>3</v>
      </c>
      <c r="AM1" t="s">
        <v>4</v>
      </c>
      <c r="AN1" t="s">
        <v>7</v>
      </c>
      <c r="AO1" t="s">
        <v>8</v>
      </c>
      <c r="AP1" t="s">
        <v>9</v>
      </c>
    </row>
    <row r="2" spans="1:42" x14ac:dyDescent="0.3">
      <c r="C2">
        <v>78</v>
      </c>
      <c r="D2">
        <v>80</v>
      </c>
      <c r="E2">
        <v>162</v>
      </c>
      <c r="F2" t="s">
        <v>5</v>
      </c>
      <c r="G2">
        <f>((D2/C2)-1/E2)</f>
        <v>1.0194681861348527</v>
      </c>
      <c r="N2">
        <v>78</v>
      </c>
      <c r="O2">
        <v>80</v>
      </c>
      <c r="P2">
        <v>162</v>
      </c>
      <c r="Q2" t="s">
        <v>6</v>
      </c>
      <c r="R2">
        <f>((O2/N2)-1/P2)</f>
        <v>1.0194681861348527</v>
      </c>
      <c r="T2">
        <f>AVERAGE(S3:S106)</f>
        <v>1.6596161309535484</v>
      </c>
      <c r="Y2">
        <v>78</v>
      </c>
      <c r="Z2">
        <v>80</v>
      </c>
      <c r="AA2">
        <v>162</v>
      </c>
      <c r="AB2" t="s">
        <v>6</v>
      </c>
      <c r="AC2">
        <f>((Z2/Y2)-1/AA2)</f>
        <v>1.0194681861348527</v>
      </c>
      <c r="AE2">
        <f>AVERAGE(AD2:AD106)</f>
        <v>1.5044512702358932</v>
      </c>
      <c r="AJ2">
        <v>78</v>
      </c>
      <c r="AK2">
        <v>80</v>
      </c>
      <c r="AL2">
        <v>162</v>
      </c>
      <c r="AM2" t="s">
        <v>6</v>
      </c>
      <c r="AN2">
        <f>((AK2/AJ2)-1/AL2)</f>
        <v>1.0194681861348527</v>
      </c>
      <c r="AP2">
        <f>AVERAGE(AO2:AO106)</f>
        <v>1.5020255242423652</v>
      </c>
    </row>
    <row r="3" spans="1:42" x14ac:dyDescent="0.3">
      <c r="C3">
        <v>78</v>
      </c>
      <c r="D3">
        <v>80</v>
      </c>
      <c r="E3">
        <v>162</v>
      </c>
      <c r="F3" t="s">
        <v>6</v>
      </c>
      <c r="G3">
        <f t="shared" ref="G3:G66" si="0">((D3/C3)-1/E3)</f>
        <v>1.0194681861348527</v>
      </c>
      <c r="H3">
        <f>GEOMEAN(G2:G3)</f>
        <v>1.0194681861348527</v>
      </c>
      <c r="I3" t="s">
        <v>9</v>
      </c>
      <c r="N3">
        <v>78</v>
      </c>
      <c r="O3">
        <v>80</v>
      </c>
      <c r="P3">
        <v>162</v>
      </c>
      <c r="Q3" t="s">
        <v>6</v>
      </c>
      <c r="R3">
        <f t="shared" ref="R3:R66" si="1">((O3/N3)-1/P3)</f>
        <v>1.0194681861348527</v>
      </c>
      <c r="Y3">
        <v>78</v>
      </c>
      <c r="Z3">
        <v>80</v>
      </c>
      <c r="AA3">
        <v>162</v>
      </c>
      <c r="AB3" t="s">
        <v>6</v>
      </c>
      <c r="AC3">
        <f t="shared" ref="AC3:AC66" si="2">((Z3/Y3)-1/AA3)</f>
        <v>1.0194681861348527</v>
      </c>
      <c r="AJ3">
        <v>78</v>
      </c>
      <c r="AK3">
        <v>80</v>
      </c>
      <c r="AL3">
        <v>162</v>
      </c>
      <c r="AM3" t="s">
        <v>6</v>
      </c>
      <c r="AN3">
        <f t="shared" ref="AN3:AN66" si="3">((AK3/AJ3)-1/AL3)</f>
        <v>1.0194681861348527</v>
      </c>
    </row>
    <row r="4" spans="1:42" x14ac:dyDescent="0.3">
      <c r="C4">
        <v>78</v>
      </c>
      <c r="D4">
        <v>80</v>
      </c>
      <c r="E4">
        <v>162</v>
      </c>
      <c r="F4" t="s">
        <v>6</v>
      </c>
      <c r="G4">
        <f t="shared" si="0"/>
        <v>1.0194681861348527</v>
      </c>
      <c r="I4">
        <f>AVERAGE(H3:H103)</f>
        <v>2.0231305849672148</v>
      </c>
      <c r="N4">
        <v>78</v>
      </c>
      <c r="O4">
        <v>80</v>
      </c>
      <c r="P4">
        <v>162</v>
      </c>
      <c r="Q4" t="s">
        <v>6</v>
      </c>
      <c r="R4">
        <f t="shared" si="1"/>
        <v>1.0194681861348527</v>
      </c>
      <c r="Y4">
        <v>78</v>
      </c>
      <c r="Z4">
        <v>80</v>
      </c>
      <c r="AA4">
        <v>162</v>
      </c>
      <c r="AB4" t="s">
        <v>6</v>
      </c>
      <c r="AC4">
        <f t="shared" si="2"/>
        <v>1.0194681861348527</v>
      </c>
      <c r="AJ4">
        <v>78</v>
      </c>
      <c r="AK4">
        <v>80</v>
      </c>
      <c r="AL4">
        <v>162</v>
      </c>
      <c r="AM4" t="s">
        <v>6</v>
      </c>
      <c r="AN4">
        <f t="shared" si="3"/>
        <v>1.0194681861348527</v>
      </c>
    </row>
    <row r="5" spans="1:42" x14ac:dyDescent="0.3">
      <c r="C5">
        <v>78</v>
      </c>
      <c r="D5">
        <v>80</v>
      </c>
      <c r="E5">
        <v>162</v>
      </c>
      <c r="F5" t="s">
        <v>6</v>
      </c>
      <c r="G5">
        <f t="shared" si="0"/>
        <v>1.0194681861348527</v>
      </c>
      <c r="N5">
        <v>78</v>
      </c>
      <c r="O5">
        <v>80</v>
      </c>
      <c r="P5">
        <v>162</v>
      </c>
      <c r="Q5" t="s">
        <v>6</v>
      </c>
      <c r="R5">
        <f t="shared" si="1"/>
        <v>1.0194681861348527</v>
      </c>
      <c r="Y5">
        <v>78</v>
      </c>
      <c r="Z5">
        <v>80</v>
      </c>
      <c r="AA5">
        <v>162</v>
      </c>
      <c r="AB5" t="s">
        <v>6</v>
      </c>
      <c r="AC5">
        <f t="shared" si="2"/>
        <v>1.0194681861348527</v>
      </c>
      <c r="AJ5">
        <v>78</v>
      </c>
      <c r="AK5">
        <v>80</v>
      </c>
      <c r="AL5">
        <v>162</v>
      </c>
      <c r="AM5" t="s">
        <v>6</v>
      </c>
      <c r="AN5">
        <f t="shared" si="3"/>
        <v>1.0194681861348527</v>
      </c>
    </row>
    <row r="6" spans="1:42" x14ac:dyDescent="0.3">
      <c r="C6">
        <v>78</v>
      </c>
      <c r="D6">
        <v>80</v>
      </c>
      <c r="E6">
        <v>162</v>
      </c>
      <c r="F6" t="s">
        <v>6</v>
      </c>
      <c r="G6">
        <f t="shared" si="0"/>
        <v>1.0194681861348527</v>
      </c>
      <c r="N6">
        <v>78</v>
      </c>
      <c r="O6">
        <v>80</v>
      </c>
      <c r="P6">
        <v>162</v>
      </c>
      <c r="Q6" t="s">
        <v>6</v>
      </c>
      <c r="R6">
        <f t="shared" si="1"/>
        <v>1.0194681861348527</v>
      </c>
      <c r="Y6">
        <v>78</v>
      </c>
      <c r="Z6">
        <v>80</v>
      </c>
      <c r="AA6">
        <v>162</v>
      </c>
      <c r="AB6" t="s">
        <v>6</v>
      </c>
      <c r="AC6">
        <f t="shared" si="2"/>
        <v>1.0194681861348527</v>
      </c>
      <c r="AJ6">
        <v>78</v>
      </c>
      <c r="AK6">
        <v>80</v>
      </c>
      <c r="AL6">
        <v>162</v>
      </c>
      <c r="AM6" t="s">
        <v>6</v>
      </c>
      <c r="AN6">
        <f t="shared" si="3"/>
        <v>1.0194681861348527</v>
      </c>
    </row>
    <row r="7" spans="1:42" x14ac:dyDescent="0.3">
      <c r="C7">
        <v>78</v>
      </c>
      <c r="D7">
        <v>80</v>
      </c>
      <c r="E7">
        <v>162</v>
      </c>
      <c r="F7" t="s">
        <v>6</v>
      </c>
      <c r="G7">
        <f t="shared" si="0"/>
        <v>1.0194681861348527</v>
      </c>
      <c r="N7">
        <v>78</v>
      </c>
      <c r="O7">
        <v>80</v>
      </c>
      <c r="P7">
        <v>162</v>
      </c>
      <c r="Q7" t="s">
        <v>6</v>
      </c>
      <c r="R7">
        <f t="shared" si="1"/>
        <v>1.0194681861348527</v>
      </c>
      <c r="Y7">
        <v>78</v>
      </c>
      <c r="Z7">
        <v>80</v>
      </c>
      <c r="AA7">
        <v>162</v>
      </c>
      <c r="AB7" t="s">
        <v>6</v>
      </c>
      <c r="AC7">
        <f t="shared" si="2"/>
        <v>1.0194681861348527</v>
      </c>
      <c r="AJ7">
        <v>78</v>
      </c>
      <c r="AK7">
        <v>80</v>
      </c>
      <c r="AL7">
        <v>162</v>
      </c>
      <c r="AM7" t="s">
        <v>6</v>
      </c>
      <c r="AN7">
        <f t="shared" si="3"/>
        <v>1.0194681861348527</v>
      </c>
    </row>
    <row r="8" spans="1:42" x14ac:dyDescent="0.3">
      <c r="C8">
        <v>78</v>
      </c>
      <c r="D8">
        <v>80</v>
      </c>
      <c r="E8">
        <v>162</v>
      </c>
      <c r="F8" t="s">
        <v>6</v>
      </c>
      <c r="G8">
        <f t="shared" si="0"/>
        <v>1.0194681861348527</v>
      </c>
      <c r="N8">
        <v>78</v>
      </c>
      <c r="O8">
        <v>80</v>
      </c>
      <c r="P8">
        <v>162</v>
      </c>
      <c r="Q8" t="s">
        <v>6</v>
      </c>
      <c r="R8">
        <f t="shared" si="1"/>
        <v>1.0194681861348527</v>
      </c>
      <c r="Y8">
        <v>78</v>
      </c>
      <c r="Z8">
        <v>80</v>
      </c>
      <c r="AA8">
        <v>162</v>
      </c>
      <c r="AB8" t="s">
        <v>6</v>
      </c>
      <c r="AC8">
        <f t="shared" si="2"/>
        <v>1.0194681861348527</v>
      </c>
      <c r="AJ8">
        <v>78</v>
      </c>
      <c r="AK8">
        <v>80</v>
      </c>
      <c r="AL8">
        <v>162</v>
      </c>
      <c r="AM8" t="s">
        <v>6</v>
      </c>
      <c r="AN8">
        <f t="shared" si="3"/>
        <v>1.0194681861348527</v>
      </c>
    </row>
    <row r="9" spans="1:42" x14ac:dyDescent="0.3">
      <c r="C9">
        <v>78</v>
      </c>
      <c r="D9">
        <v>80</v>
      </c>
      <c r="E9">
        <v>162</v>
      </c>
      <c r="F9" t="s">
        <v>6</v>
      </c>
      <c r="G9">
        <f t="shared" si="0"/>
        <v>1.0194681861348527</v>
      </c>
      <c r="N9">
        <v>78</v>
      </c>
      <c r="O9">
        <v>80</v>
      </c>
      <c r="P9">
        <v>162</v>
      </c>
      <c r="Q9" t="s">
        <v>6</v>
      </c>
      <c r="R9">
        <f t="shared" si="1"/>
        <v>1.0194681861348527</v>
      </c>
      <c r="Y9">
        <v>78</v>
      </c>
      <c r="Z9">
        <v>80</v>
      </c>
      <c r="AA9">
        <v>162</v>
      </c>
      <c r="AB9" t="s">
        <v>6</v>
      </c>
      <c r="AC9">
        <f t="shared" si="2"/>
        <v>1.0194681861348527</v>
      </c>
      <c r="AJ9">
        <v>78</v>
      </c>
      <c r="AK9">
        <v>80</v>
      </c>
      <c r="AL9">
        <v>162</v>
      </c>
      <c r="AM9" t="s">
        <v>6</v>
      </c>
      <c r="AN9">
        <f t="shared" si="3"/>
        <v>1.0194681861348527</v>
      </c>
    </row>
    <row r="10" spans="1:42" x14ac:dyDescent="0.3">
      <c r="C10">
        <v>78</v>
      </c>
      <c r="D10">
        <v>80</v>
      </c>
      <c r="E10">
        <v>162</v>
      </c>
      <c r="F10" t="s">
        <v>6</v>
      </c>
      <c r="G10">
        <f t="shared" si="0"/>
        <v>1.0194681861348527</v>
      </c>
      <c r="N10">
        <v>78</v>
      </c>
      <c r="O10">
        <v>80</v>
      </c>
      <c r="P10">
        <v>162</v>
      </c>
      <c r="Q10" t="s">
        <v>6</v>
      </c>
      <c r="R10">
        <f t="shared" si="1"/>
        <v>1.0194681861348527</v>
      </c>
      <c r="Y10">
        <v>78</v>
      </c>
      <c r="Z10">
        <v>80</v>
      </c>
      <c r="AA10">
        <v>162</v>
      </c>
      <c r="AB10" t="s">
        <v>6</v>
      </c>
      <c r="AC10">
        <f t="shared" si="2"/>
        <v>1.0194681861348527</v>
      </c>
      <c r="AJ10">
        <v>78</v>
      </c>
      <c r="AK10">
        <v>80</v>
      </c>
      <c r="AL10">
        <v>162</v>
      </c>
      <c r="AM10" t="s">
        <v>6</v>
      </c>
      <c r="AN10">
        <f t="shared" si="3"/>
        <v>1.0194681861348527</v>
      </c>
    </row>
    <row r="11" spans="1:42" x14ac:dyDescent="0.3">
      <c r="C11">
        <v>78</v>
      </c>
      <c r="D11">
        <v>80</v>
      </c>
      <c r="E11">
        <v>162</v>
      </c>
      <c r="F11" t="s">
        <v>6</v>
      </c>
      <c r="G11">
        <f t="shared" si="0"/>
        <v>1.0194681861348527</v>
      </c>
      <c r="N11">
        <v>78</v>
      </c>
      <c r="O11">
        <v>80</v>
      </c>
      <c r="P11">
        <v>162</v>
      </c>
      <c r="Q11" t="s">
        <v>6</v>
      </c>
      <c r="R11">
        <f t="shared" si="1"/>
        <v>1.0194681861348527</v>
      </c>
      <c r="Y11">
        <v>78</v>
      </c>
      <c r="Z11">
        <v>80</v>
      </c>
      <c r="AA11">
        <v>162</v>
      </c>
      <c r="AB11" t="s">
        <v>6</v>
      </c>
      <c r="AC11">
        <f t="shared" si="2"/>
        <v>1.0194681861348527</v>
      </c>
      <c r="AJ11">
        <v>78</v>
      </c>
      <c r="AK11">
        <v>80</v>
      </c>
      <c r="AL11">
        <v>162</v>
      </c>
      <c r="AM11" t="s">
        <v>6</v>
      </c>
      <c r="AN11">
        <f t="shared" si="3"/>
        <v>1.0194681861348527</v>
      </c>
    </row>
    <row r="12" spans="1:42" x14ac:dyDescent="0.3">
      <c r="C12">
        <v>78</v>
      </c>
      <c r="D12">
        <v>80</v>
      </c>
      <c r="E12">
        <v>162</v>
      </c>
      <c r="F12" t="s">
        <v>6</v>
      </c>
      <c r="G12">
        <f t="shared" si="0"/>
        <v>1.0194681861348527</v>
      </c>
      <c r="N12">
        <v>78</v>
      </c>
      <c r="O12">
        <v>80</v>
      </c>
      <c r="P12">
        <v>162</v>
      </c>
      <c r="Q12" t="s">
        <v>6</v>
      </c>
      <c r="R12">
        <f t="shared" si="1"/>
        <v>1.0194681861348527</v>
      </c>
      <c r="Y12">
        <v>78</v>
      </c>
      <c r="Z12">
        <v>80</v>
      </c>
      <c r="AA12">
        <v>162</v>
      </c>
      <c r="AB12" t="s">
        <v>6</v>
      </c>
      <c r="AC12">
        <f t="shared" si="2"/>
        <v>1.0194681861348527</v>
      </c>
      <c r="AJ12">
        <v>78</v>
      </c>
      <c r="AK12">
        <v>80</v>
      </c>
      <c r="AL12">
        <v>162</v>
      </c>
      <c r="AM12" t="s">
        <v>6</v>
      </c>
      <c r="AN12">
        <f t="shared" si="3"/>
        <v>1.0194681861348527</v>
      </c>
    </row>
    <row r="13" spans="1:42" x14ac:dyDescent="0.3">
      <c r="C13">
        <v>78</v>
      </c>
      <c r="D13">
        <v>80</v>
      </c>
      <c r="E13">
        <v>162</v>
      </c>
      <c r="F13" t="s">
        <v>6</v>
      </c>
      <c r="G13">
        <f t="shared" si="0"/>
        <v>1.0194681861348527</v>
      </c>
      <c r="N13">
        <v>78</v>
      </c>
      <c r="O13">
        <v>80</v>
      </c>
      <c r="P13">
        <v>162</v>
      </c>
      <c r="Q13" t="s">
        <v>6</v>
      </c>
      <c r="R13">
        <f t="shared" si="1"/>
        <v>1.0194681861348527</v>
      </c>
      <c r="Y13">
        <v>78</v>
      </c>
      <c r="Z13">
        <v>80</v>
      </c>
      <c r="AA13">
        <v>162</v>
      </c>
      <c r="AB13" t="s">
        <v>6</v>
      </c>
      <c r="AC13">
        <f t="shared" si="2"/>
        <v>1.0194681861348527</v>
      </c>
      <c r="AJ13">
        <v>78</v>
      </c>
      <c r="AK13">
        <v>80</v>
      </c>
      <c r="AL13">
        <v>162</v>
      </c>
      <c r="AM13" t="s">
        <v>6</v>
      </c>
      <c r="AN13">
        <f t="shared" si="3"/>
        <v>1.0194681861348527</v>
      </c>
    </row>
    <row r="14" spans="1:42" x14ac:dyDescent="0.3">
      <c r="C14">
        <v>78</v>
      </c>
      <c r="D14">
        <v>80</v>
      </c>
      <c r="E14">
        <v>162</v>
      </c>
      <c r="F14" t="s">
        <v>6</v>
      </c>
      <c r="G14">
        <f t="shared" si="0"/>
        <v>1.0194681861348527</v>
      </c>
      <c r="N14">
        <v>78</v>
      </c>
      <c r="O14">
        <v>80</v>
      </c>
      <c r="P14">
        <v>162</v>
      </c>
      <c r="Q14" t="s">
        <v>5</v>
      </c>
      <c r="R14">
        <f t="shared" si="1"/>
        <v>1.0194681861348527</v>
      </c>
      <c r="Y14">
        <v>78</v>
      </c>
      <c r="Z14">
        <v>80</v>
      </c>
      <c r="AA14">
        <v>162</v>
      </c>
      <c r="AB14" t="s">
        <v>6</v>
      </c>
      <c r="AC14">
        <f t="shared" si="2"/>
        <v>1.0194681861348527</v>
      </c>
      <c r="AJ14">
        <v>78</v>
      </c>
      <c r="AK14">
        <v>80</v>
      </c>
      <c r="AL14">
        <v>162</v>
      </c>
      <c r="AM14" t="s">
        <v>6</v>
      </c>
      <c r="AN14">
        <f t="shared" si="3"/>
        <v>1.0194681861348527</v>
      </c>
    </row>
    <row r="15" spans="1:42" x14ac:dyDescent="0.3">
      <c r="C15">
        <v>78</v>
      </c>
      <c r="D15">
        <v>80</v>
      </c>
      <c r="E15">
        <v>162</v>
      </c>
      <c r="F15" t="s">
        <v>6</v>
      </c>
      <c r="G15">
        <f t="shared" si="0"/>
        <v>1.0194681861348527</v>
      </c>
      <c r="N15">
        <v>78</v>
      </c>
      <c r="O15">
        <v>80</v>
      </c>
      <c r="P15">
        <v>162</v>
      </c>
      <c r="Q15" t="s">
        <v>6</v>
      </c>
      <c r="R15">
        <f t="shared" si="1"/>
        <v>1.0194681861348527</v>
      </c>
      <c r="S15">
        <f>GEOMEAN(R14:R15)</f>
        <v>1.0194681861348527</v>
      </c>
      <c r="Y15">
        <v>78</v>
      </c>
      <c r="Z15">
        <v>80</v>
      </c>
      <c r="AA15">
        <v>162</v>
      </c>
      <c r="AB15" t="s">
        <v>6</v>
      </c>
      <c r="AC15">
        <f t="shared" si="2"/>
        <v>1.0194681861348527</v>
      </c>
      <c r="AJ15">
        <v>78</v>
      </c>
      <c r="AK15">
        <v>80</v>
      </c>
      <c r="AL15">
        <v>162</v>
      </c>
      <c r="AM15" t="s">
        <v>6</v>
      </c>
      <c r="AN15">
        <f t="shared" si="3"/>
        <v>1.0194681861348527</v>
      </c>
    </row>
    <row r="16" spans="1:42" x14ac:dyDescent="0.3">
      <c r="C16">
        <v>78</v>
      </c>
      <c r="D16">
        <v>80</v>
      </c>
      <c r="E16">
        <v>162</v>
      </c>
      <c r="F16" t="s">
        <v>6</v>
      </c>
      <c r="G16">
        <f t="shared" si="0"/>
        <v>1.0194681861348527</v>
      </c>
      <c r="N16">
        <v>78</v>
      </c>
      <c r="O16">
        <v>80</v>
      </c>
      <c r="P16">
        <v>162</v>
      </c>
      <c r="Q16" t="s">
        <v>6</v>
      </c>
      <c r="R16">
        <f t="shared" si="1"/>
        <v>1.0194681861348527</v>
      </c>
      <c r="Y16">
        <v>78</v>
      </c>
      <c r="Z16">
        <v>80</v>
      </c>
      <c r="AA16">
        <v>162</v>
      </c>
      <c r="AB16" t="s">
        <v>6</v>
      </c>
      <c r="AC16">
        <f t="shared" si="2"/>
        <v>1.0194681861348527</v>
      </c>
      <c r="AJ16">
        <v>78</v>
      </c>
      <c r="AK16">
        <v>80</v>
      </c>
      <c r="AL16">
        <v>162</v>
      </c>
      <c r="AM16" t="s">
        <v>6</v>
      </c>
      <c r="AN16">
        <f t="shared" si="3"/>
        <v>1.0194681861348527</v>
      </c>
    </row>
    <row r="17" spans="3:41" x14ac:dyDescent="0.3">
      <c r="C17">
        <v>67</v>
      </c>
      <c r="D17">
        <v>75</v>
      </c>
      <c r="E17">
        <v>119</v>
      </c>
      <c r="F17" t="s">
        <v>6</v>
      </c>
      <c r="G17">
        <f t="shared" si="0"/>
        <v>1.110999623730089</v>
      </c>
      <c r="N17">
        <v>67</v>
      </c>
      <c r="O17">
        <v>75</v>
      </c>
      <c r="P17">
        <v>119</v>
      </c>
      <c r="Q17" t="s">
        <v>6</v>
      </c>
      <c r="R17">
        <f t="shared" si="1"/>
        <v>1.110999623730089</v>
      </c>
      <c r="Y17">
        <v>67</v>
      </c>
      <c r="Z17">
        <v>75</v>
      </c>
      <c r="AA17">
        <v>119</v>
      </c>
      <c r="AB17" t="s">
        <v>6</v>
      </c>
      <c r="AC17">
        <f t="shared" si="2"/>
        <v>1.110999623730089</v>
      </c>
      <c r="AJ17">
        <v>67</v>
      </c>
      <c r="AK17">
        <v>75</v>
      </c>
      <c r="AL17">
        <v>119</v>
      </c>
      <c r="AM17" t="s">
        <v>6</v>
      </c>
      <c r="AN17">
        <f t="shared" si="3"/>
        <v>1.110999623730089</v>
      </c>
    </row>
    <row r="18" spans="3:41" x14ac:dyDescent="0.3">
      <c r="C18">
        <v>67</v>
      </c>
      <c r="D18">
        <v>75</v>
      </c>
      <c r="E18">
        <v>119</v>
      </c>
      <c r="F18" t="s">
        <v>6</v>
      </c>
      <c r="G18">
        <f t="shared" si="0"/>
        <v>1.110999623730089</v>
      </c>
      <c r="N18">
        <v>67</v>
      </c>
      <c r="O18">
        <v>75</v>
      </c>
      <c r="P18">
        <v>119</v>
      </c>
      <c r="Q18" t="s">
        <v>5</v>
      </c>
      <c r="R18">
        <f t="shared" si="1"/>
        <v>1.110999623730089</v>
      </c>
      <c r="Y18">
        <v>67</v>
      </c>
      <c r="Z18">
        <v>75</v>
      </c>
      <c r="AA18">
        <v>119</v>
      </c>
      <c r="AB18" t="s">
        <v>6</v>
      </c>
      <c r="AC18">
        <f t="shared" si="2"/>
        <v>1.110999623730089</v>
      </c>
      <c r="AJ18">
        <v>67</v>
      </c>
      <c r="AK18">
        <v>75</v>
      </c>
      <c r="AL18">
        <v>119</v>
      </c>
      <c r="AM18" t="s">
        <v>6</v>
      </c>
      <c r="AN18">
        <f t="shared" si="3"/>
        <v>1.110999623730089</v>
      </c>
    </row>
    <row r="19" spans="3:41" x14ac:dyDescent="0.3">
      <c r="C19">
        <v>67</v>
      </c>
      <c r="D19">
        <v>75</v>
      </c>
      <c r="E19">
        <v>119</v>
      </c>
      <c r="F19" t="s">
        <v>6</v>
      </c>
      <c r="G19">
        <f t="shared" si="0"/>
        <v>1.110999623730089</v>
      </c>
      <c r="N19">
        <v>67</v>
      </c>
      <c r="O19">
        <v>75</v>
      </c>
      <c r="P19">
        <v>119</v>
      </c>
      <c r="Q19" t="s">
        <v>6</v>
      </c>
      <c r="R19">
        <f t="shared" si="1"/>
        <v>1.110999623730089</v>
      </c>
      <c r="S19">
        <f>GEOMEAN(R18:R19)</f>
        <v>1.110999623730089</v>
      </c>
      <c r="Y19">
        <v>67</v>
      </c>
      <c r="Z19">
        <v>75</v>
      </c>
      <c r="AA19">
        <v>119</v>
      </c>
      <c r="AB19" t="s">
        <v>5</v>
      </c>
      <c r="AC19">
        <f t="shared" si="2"/>
        <v>1.110999623730089</v>
      </c>
      <c r="AJ19">
        <v>67</v>
      </c>
      <c r="AK19">
        <v>75</v>
      </c>
      <c r="AL19">
        <v>119</v>
      </c>
      <c r="AM19" t="s">
        <v>6</v>
      </c>
      <c r="AN19">
        <f t="shared" si="3"/>
        <v>1.110999623730089</v>
      </c>
    </row>
    <row r="20" spans="3:41" x14ac:dyDescent="0.3">
      <c r="C20">
        <v>67</v>
      </c>
      <c r="D20">
        <v>75</v>
      </c>
      <c r="E20">
        <v>119</v>
      </c>
      <c r="F20" t="s">
        <v>6</v>
      </c>
      <c r="G20">
        <f t="shared" si="0"/>
        <v>1.110999623730089</v>
      </c>
      <c r="N20">
        <v>67</v>
      </c>
      <c r="O20">
        <v>75</v>
      </c>
      <c r="P20">
        <v>119</v>
      </c>
      <c r="Q20" t="s">
        <v>6</v>
      </c>
      <c r="R20">
        <f t="shared" si="1"/>
        <v>1.110999623730089</v>
      </c>
      <c r="Y20">
        <v>67</v>
      </c>
      <c r="Z20">
        <v>75</v>
      </c>
      <c r="AA20">
        <v>119</v>
      </c>
      <c r="AB20" t="s">
        <v>6</v>
      </c>
      <c r="AC20">
        <f t="shared" si="2"/>
        <v>1.110999623730089</v>
      </c>
      <c r="AD20">
        <f>GEOMEAN(AC19:AC20)</f>
        <v>1.110999623730089</v>
      </c>
      <c r="AJ20">
        <v>67</v>
      </c>
      <c r="AK20">
        <v>75</v>
      </c>
      <c r="AL20">
        <v>119</v>
      </c>
      <c r="AM20" t="s">
        <v>6</v>
      </c>
      <c r="AN20">
        <f t="shared" si="3"/>
        <v>1.110999623730089</v>
      </c>
    </row>
    <row r="21" spans="3:41" x14ac:dyDescent="0.3">
      <c r="C21">
        <v>67</v>
      </c>
      <c r="D21">
        <v>75</v>
      </c>
      <c r="E21">
        <v>119</v>
      </c>
      <c r="F21" t="s">
        <v>6</v>
      </c>
      <c r="G21">
        <f t="shared" si="0"/>
        <v>1.110999623730089</v>
      </c>
      <c r="N21">
        <v>67</v>
      </c>
      <c r="O21">
        <v>75</v>
      </c>
      <c r="P21">
        <v>119</v>
      </c>
      <c r="Q21" t="s">
        <v>6</v>
      </c>
      <c r="R21">
        <f t="shared" si="1"/>
        <v>1.110999623730089</v>
      </c>
      <c r="Y21">
        <v>67</v>
      </c>
      <c r="Z21">
        <v>75</v>
      </c>
      <c r="AA21">
        <v>119</v>
      </c>
      <c r="AB21" t="s">
        <v>6</v>
      </c>
      <c r="AC21">
        <f t="shared" si="2"/>
        <v>1.110999623730089</v>
      </c>
      <c r="AJ21">
        <v>67</v>
      </c>
      <c r="AK21">
        <v>75</v>
      </c>
      <c r="AL21">
        <v>119</v>
      </c>
      <c r="AM21" t="s">
        <v>6</v>
      </c>
      <c r="AN21">
        <f t="shared" si="3"/>
        <v>1.110999623730089</v>
      </c>
    </row>
    <row r="22" spans="3:41" x14ac:dyDescent="0.3">
      <c r="C22">
        <v>67</v>
      </c>
      <c r="D22">
        <v>75</v>
      </c>
      <c r="E22">
        <v>119</v>
      </c>
      <c r="F22" t="s">
        <v>6</v>
      </c>
      <c r="G22">
        <f t="shared" si="0"/>
        <v>1.110999623730089</v>
      </c>
      <c r="N22">
        <v>67</v>
      </c>
      <c r="O22">
        <v>75</v>
      </c>
      <c r="P22">
        <v>119</v>
      </c>
      <c r="Q22" t="s">
        <v>5</v>
      </c>
      <c r="R22">
        <f t="shared" si="1"/>
        <v>1.110999623730089</v>
      </c>
      <c r="Y22">
        <v>67</v>
      </c>
      <c r="Z22">
        <v>75</v>
      </c>
      <c r="AA22">
        <v>119</v>
      </c>
      <c r="AB22" t="s">
        <v>6</v>
      </c>
      <c r="AC22">
        <f t="shared" si="2"/>
        <v>1.110999623730089</v>
      </c>
      <c r="AJ22">
        <v>67</v>
      </c>
      <c r="AK22">
        <v>75</v>
      </c>
      <c r="AL22">
        <v>119</v>
      </c>
      <c r="AM22" t="s">
        <v>6</v>
      </c>
      <c r="AN22">
        <f t="shared" si="3"/>
        <v>1.110999623730089</v>
      </c>
    </row>
    <row r="23" spans="3:41" x14ac:dyDescent="0.3">
      <c r="C23">
        <v>67</v>
      </c>
      <c r="D23">
        <v>75</v>
      </c>
      <c r="E23">
        <v>119</v>
      </c>
      <c r="F23" t="s">
        <v>6</v>
      </c>
      <c r="G23">
        <f t="shared" si="0"/>
        <v>1.110999623730089</v>
      </c>
      <c r="N23">
        <v>67</v>
      </c>
      <c r="O23">
        <v>75</v>
      </c>
      <c r="P23">
        <v>119</v>
      </c>
      <c r="Q23" t="s">
        <v>6</v>
      </c>
      <c r="R23">
        <f t="shared" si="1"/>
        <v>1.110999623730089</v>
      </c>
      <c r="S23">
        <f>GEOMEAN(R22:R23)</f>
        <v>1.110999623730089</v>
      </c>
      <c r="Y23">
        <v>67</v>
      </c>
      <c r="Z23">
        <v>75</v>
      </c>
      <c r="AA23">
        <v>119</v>
      </c>
      <c r="AB23" t="s">
        <v>6</v>
      </c>
      <c r="AC23">
        <f t="shared" si="2"/>
        <v>1.110999623730089</v>
      </c>
      <c r="AJ23">
        <v>67</v>
      </c>
      <c r="AK23">
        <v>75</v>
      </c>
      <c r="AL23">
        <v>119</v>
      </c>
      <c r="AM23" t="s">
        <v>6</v>
      </c>
      <c r="AN23">
        <f t="shared" si="3"/>
        <v>1.110999623730089</v>
      </c>
    </row>
    <row r="24" spans="3:41" x14ac:dyDescent="0.3">
      <c r="C24">
        <v>67</v>
      </c>
      <c r="D24">
        <v>75</v>
      </c>
      <c r="E24">
        <v>119</v>
      </c>
      <c r="F24" t="s">
        <v>6</v>
      </c>
      <c r="G24">
        <f t="shared" si="0"/>
        <v>1.110999623730089</v>
      </c>
      <c r="N24">
        <v>67</v>
      </c>
      <c r="O24">
        <v>75</v>
      </c>
      <c r="P24">
        <v>119</v>
      </c>
      <c r="Q24" t="s">
        <v>6</v>
      </c>
      <c r="R24">
        <f t="shared" si="1"/>
        <v>1.110999623730089</v>
      </c>
      <c r="Y24">
        <v>67</v>
      </c>
      <c r="Z24">
        <v>75</v>
      </c>
      <c r="AA24">
        <v>119</v>
      </c>
      <c r="AB24" t="s">
        <v>6</v>
      </c>
      <c r="AC24">
        <f t="shared" si="2"/>
        <v>1.110999623730089</v>
      </c>
      <c r="AJ24">
        <v>67</v>
      </c>
      <c r="AK24">
        <v>75</v>
      </c>
      <c r="AL24">
        <v>119</v>
      </c>
      <c r="AM24" t="s">
        <v>6</v>
      </c>
      <c r="AN24">
        <f t="shared" si="3"/>
        <v>1.110999623730089</v>
      </c>
    </row>
    <row r="25" spans="3:41" x14ac:dyDescent="0.3">
      <c r="C25">
        <v>67</v>
      </c>
      <c r="D25">
        <v>75</v>
      </c>
      <c r="E25">
        <v>119</v>
      </c>
      <c r="F25" t="s">
        <v>6</v>
      </c>
      <c r="G25">
        <f t="shared" si="0"/>
        <v>1.110999623730089</v>
      </c>
      <c r="N25">
        <v>67</v>
      </c>
      <c r="O25">
        <v>75</v>
      </c>
      <c r="P25">
        <v>119</v>
      </c>
      <c r="Q25" t="s">
        <v>6</v>
      </c>
      <c r="R25">
        <f t="shared" si="1"/>
        <v>1.110999623730089</v>
      </c>
      <c r="Y25">
        <v>67</v>
      </c>
      <c r="Z25">
        <v>75</v>
      </c>
      <c r="AA25">
        <v>119</v>
      </c>
      <c r="AB25" t="s">
        <v>6</v>
      </c>
      <c r="AC25">
        <f t="shared" si="2"/>
        <v>1.110999623730089</v>
      </c>
      <c r="AJ25">
        <v>67</v>
      </c>
      <c r="AK25">
        <v>75</v>
      </c>
      <c r="AL25">
        <v>119</v>
      </c>
      <c r="AM25" t="s">
        <v>6</v>
      </c>
      <c r="AN25">
        <f t="shared" si="3"/>
        <v>1.110999623730089</v>
      </c>
    </row>
    <row r="26" spans="3:41" x14ac:dyDescent="0.3">
      <c r="C26">
        <v>67</v>
      </c>
      <c r="D26">
        <v>75</v>
      </c>
      <c r="E26">
        <v>119</v>
      </c>
      <c r="F26" t="s">
        <v>6</v>
      </c>
      <c r="G26">
        <f t="shared" si="0"/>
        <v>1.110999623730089</v>
      </c>
      <c r="N26">
        <v>67</v>
      </c>
      <c r="O26">
        <v>75</v>
      </c>
      <c r="P26">
        <v>119</v>
      </c>
      <c r="Q26" t="s">
        <v>6</v>
      </c>
      <c r="R26">
        <f t="shared" si="1"/>
        <v>1.110999623730089</v>
      </c>
      <c r="Y26">
        <v>67</v>
      </c>
      <c r="Z26">
        <v>75</v>
      </c>
      <c r="AA26">
        <v>119</v>
      </c>
      <c r="AB26" t="s">
        <v>6</v>
      </c>
      <c r="AC26">
        <f t="shared" si="2"/>
        <v>1.110999623730089</v>
      </c>
      <c r="AJ26">
        <v>67</v>
      </c>
      <c r="AK26">
        <v>75</v>
      </c>
      <c r="AL26">
        <v>119</v>
      </c>
      <c r="AM26" t="s">
        <v>6</v>
      </c>
      <c r="AN26">
        <f t="shared" si="3"/>
        <v>1.110999623730089</v>
      </c>
    </row>
    <row r="27" spans="3:41" x14ac:dyDescent="0.3">
      <c r="C27">
        <v>67</v>
      </c>
      <c r="D27">
        <v>75</v>
      </c>
      <c r="E27">
        <v>119</v>
      </c>
      <c r="F27" t="s">
        <v>6</v>
      </c>
      <c r="G27">
        <f t="shared" si="0"/>
        <v>1.110999623730089</v>
      </c>
      <c r="N27">
        <v>67</v>
      </c>
      <c r="O27">
        <v>75</v>
      </c>
      <c r="P27">
        <v>119</v>
      </c>
      <c r="Q27" t="s">
        <v>6</v>
      </c>
      <c r="R27">
        <f t="shared" si="1"/>
        <v>1.110999623730089</v>
      </c>
      <c r="Y27">
        <v>67</v>
      </c>
      <c r="Z27">
        <v>75</v>
      </c>
      <c r="AA27">
        <v>119</v>
      </c>
      <c r="AB27" t="s">
        <v>6</v>
      </c>
      <c r="AC27">
        <f t="shared" si="2"/>
        <v>1.110999623730089</v>
      </c>
      <c r="AJ27">
        <v>67</v>
      </c>
      <c r="AK27">
        <v>75</v>
      </c>
      <c r="AL27">
        <v>119</v>
      </c>
      <c r="AM27" t="s">
        <v>6</v>
      </c>
      <c r="AN27">
        <f t="shared" si="3"/>
        <v>1.110999623730089</v>
      </c>
    </row>
    <row r="28" spans="3:41" x14ac:dyDescent="0.3">
      <c r="C28">
        <v>67</v>
      </c>
      <c r="D28">
        <v>75</v>
      </c>
      <c r="E28">
        <v>119</v>
      </c>
      <c r="F28" t="s">
        <v>6</v>
      </c>
      <c r="G28">
        <f t="shared" si="0"/>
        <v>1.110999623730089</v>
      </c>
      <c r="N28">
        <v>67</v>
      </c>
      <c r="O28">
        <v>75</v>
      </c>
      <c r="P28">
        <v>119</v>
      </c>
      <c r="Q28" t="s">
        <v>6</v>
      </c>
      <c r="R28">
        <f t="shared" si="1"/>
        <v>1.110999623730089</v>
      </c>
      <c r="Y28">
        <v>67</v>
      </c>
      <c r="Z28">
        <v>75</v>
      </c>
      <c r="AA28">
        <v>119</v>
      </c>
      <c r="AB28" t="s">
        <v>6</v>
      </c>
      <c r="AC28">
        <f t="shared" si="2"/>
        <v>1.110999623730089</v>
      </c>
      <c r="AJ28">
        <v>67</v>
      </c>
      <c r="AK28">
        <v>75</v>
      </c>
      <c r="AL28">
        <v>119</v>
      </c>
      <c r="AM28" t="s">
        <v>5</v>
      </c>
      <c r="AN28">
        <f t="shared" si="3"/>
        <v>1.110999623730089</v>
      </c>
    </row>
    <row r="29" spans="3:41" x14ac:dyDescent="0.3">
      <c r="C29">
        <v>67</v>
      </c>
      <c r="D29">
        <v>75</v>
      </c>
      <c r="E29">
        <v>119</v>
      </c>
      <c r="F29" t="s">
        <v>6</v>
      </c>
      <c r="G29">
        <f t="shared" si="0"/>
        <v>1.110999623730089</v>
      </c>
      <c r="N29">
        <v>67</v>
      </c>
      <c r="O29">
        <v>75</v>
      </c>
      <c r="P29">
        <v>119</v>
      </c>
      <c r="Q29" t="s">
        <v>5</v>
      </c>
      <c r="R29">
        <f t="shared" si="1"/>
        <v>1.110999623730089</v>
      </c>
      <c r="Y29">
        <v>67</v>
      </c>
      <c r="Z29">
        <v>75</v>
      </c>
      <c r="AA29">
        <v>119</v>
      </c>
      <c r="AB29" t="s">
        <v>6</v>
      </c>
      <c r="AC29">
        <f t="shared" si="2"/>
        <v>1.110999623730089</v>
      </c>
      <c r="AJ29">
        <v>67</v>
      </c>
      <c r="AK29">
        <v>75</v>
      </c>
      <c r="AL29">
        <v>119</v>
      </c>
      <c r="AM29" t="s">
        <v>5</v>
      </c>
      <c r="AN29">
        <f t="shared" si="3"/>
        <v>1.110999623730089</v>
      </c>
    </row>
    <row r="30" spans="3:41" x14ac:dyDescent="0.3">
      <c r="C30">
        <v>67</v>
      </c>
      <c r="D30">
        <v>75</v>
      </c>
      <c r="E30">
        <v>119</v>
      </c>
      <c r="F30" t="s">
        <v>6</v>
      </c>
      <c r="G30">
        <f t="shared" si="0"/>
        <v>1.110999623730089</v>
      </c>
      <c r="N30">
        <v>67</v>
      </c>
      <c r="O30">
        <v>75</v>
      </c>
      <c r="P30">
        <v>119</v>
      </c>
      <c r="Q30" t="s">
        <v>6</v>
      </c>
      <c r="R30">
        <f t="shared" si="1"/>
        <v>1.110999623730089</v>
      </c>
      <c r="S30">
        <f>GEOMEAN(R29:R30)</f>
        <v>1.110999623730089</v>
      </c>
      <c r="Y30">
        <v>67</v>
      </c>
      <c r="Z30">
        <v>75</v>
      </c>
      <c r="AA30">
        <v>119</v>
      </c>
      <c r="AB30" t="s">
        <v>6</v>
      </c>
      <c r="AC30">
        <f t="shared" si="2"/>
        <v>1.110999623730089</v>
      </c>
      <c r="AJ30">
        <v>67</v>
      </c>
      <c r="AK30">
        <v>75</v>
      </c>
      <c r="AL30">
        <v>119</v>
      </c>
      <c r="AM30" t="s">
        <v>6</v>
      </c>
      <c r="AN30">
        <f t="shared" si="3"/>
        <v>1.110999623730089</v>
      </c>
      <c r="AO30">
        <f>GEOMEAN(AN29:AN30)</f>
        <v>1.110999623730089</v>
      </c>
    </row>
    <row r="31" spans="3:41" x14ac:dyDescent="0.3">
      <c r="C31">
        <v>49</v>
      </c>
      <c r="D31">
        <v>60</v>
      </c>
      <c r="E31">
        <v>89</v>
      </c>
      <c r="F31" t="s">
        <v>6</v>
      </c>
      <c r="G31">
        <f t="shared" si="0"/>
        <v>1.2132538408621876</v>
      </c>
      <c r="N31">
        <v>67</v>
      </c>
      <c r="O31">
        <v>75</v>
      </c>
      <c r="P31">
        <v>119</v>
      </c>
      <c r="Q31" t="s">
        <v>6</v>
      </c>
      <c r="R31">
        <f t="shared" si="1"/>
        <v>1.110999623730089</v>
      </c>
      <c r="Y31">
        <v>67</v>
      </c>
      <c r="Z31">
        <v>75</v>
      </c>
      <c r="AA31">
        <v>119</v>
      </c>
      <c r="AB31" t="s">
        <v>6</v>
      </c>
      <c r="AC31">
        <f t="shared" si="2"/>
        <v>1.110999623730089</v>
      </c>
      <c r="AJ31">
        <v>67</v>
      </c>
      <c r="AK31">
        <v>75</v>
      </c>
      <c r="AL31">
        <v>119</v>
      </c>
      <c r="AM31" t="s">
        <v>6</v>
      </c>
      <c r="AN31">
        <f t="shared" si="3"/>
        <v>1.110999623730089</v>
      </c>
    </row>
    <row r="32" spans="3:41" x14ac:dyDescent="0.3">
      <c r="C32">
        <v>49</v>
      </c>
      <c r="D32">
        <v>60</v>
      </c>
      <c r="E32">
        <v>89</v>
      </c>
      <c r="F32" t="s">
        <v>6</v>
      </c>
      <c r="G32">
        <f t="shared" si="0"/>
        <v>1.2132538408621876</v>
      </c>
      <c r="N32">
        <v>49</v>
      </c>
      <c r="O32">
        <v>60</v>
      </c>
      <c r="P32">
        <v>89</v>
      </c>
      <c r="Q32" t="s">
        <v>6</v>
      </c>
      <c r="R32">
        <f t="shared" si="1"/>
        <v>1.2132538408621876</v>
      </c>
      <c r="Y32">
        <v>49</v>
      </c>
      <c r="Z32">
        <v>60</v>
      </c>
      <c r="AA32">
        <v>89</v>
      </c>
      <c r="AB32" t="s">
        <v>6</v>
      </c>
      <c r="AC32">
        <f t="shared" si="2"/>
        <v>1.2132538408621876</v>
      </c>
      <c r="AJ32">
        <v>49</v>
      </c>
      <c r="AK32">
        <v>60</v>
      </c>
      <c r="AL32">
        <v>89</v>
      </c>
      <c r="AM32" t="s">
        <v>5</v>
      </c>
      <c r="AN32">
        <f t="shared" si="3"/>
        <v>1.2132538408621876</v>
      </c>
    </row>
    <row r="33" spans="3:41" x14ac:dyDescent="0.3">
      <c r="C33">
        <v>49</v>
      </c>
      <c r="D33">
        <v>60</v>
      </c>
      <c r="E33">
        <v>89</v>
      </c>
      <c r="F33" t="s">
        <v>6</v>
      </c>
      <c r="G33">
        <f t="shared" si="0"/>
        <v>1.2132538408621876</v>
      </c>
      <c r="N33">
        <v>49</v>
      </c>
      <c r="O33">
        <v>60</v>
      </c>
      <c r="P33">
        <v>89</v>
      </c>
      <c r="Q33" t="s">
        <v>6</v>
      </c>
      <c r="R33">
        <f t="shared" si="1"/>
        <v>1.2132538408621876</v>
      </c>
      <c r="Y33">
        <v>49</v>
      </c>
      <c r="Z33">
        <v>60</v>
      </c>
      <c r="AA33">
        <v>89</v>
      </c>
      <c r="AB33" t="s">
        <v>6</v>
      </c>
      <c r="AC33">
        <f t="shared" si="2"/>
        <v>1.2132538408621876</v>
      </c>
      <c r="AJ33">
        <v>49</v>
      </c>
      <c r="AK33">
        <v>60</v>
      </c>
      <c r="AL33">
        <v>89</v>
      </c>
      <c r="AM33" t="s">
        <v>6</v>
      </c>
      <c r="AN33">
        <f t="shared" si="3"/>
        <v>1.2132538408621876</v>
      </c>
      <c r="AO33">
        <f>GEOMEAN(AN32:AN33)</f>
        <v>1.2132538408621876</v>
      </c>
    </row>
    <row r="34" spans="3:41" x14ac:dyDescent="0.3">
      <c r="C34">
        <v>49</v>
      </c>
      <c r="D34">
        <v>60</v>
      </c>
      <c r="E34">
        <v>89</v>
      </c>
      <c r="F34" t="s">
        <v>6</v>
      </c>
      <c r="G34">
        <f t="shared" si="0"/>
        <v>1.2132538408621876</v>
      </c>
      <c r="N34">
        <v>49</v>
      </c>
      <c r="O34">
        <v>60</v>
      </c>
      <c r="P34">
        <v>89</v>
      </c>
      <c r="Q34" t="s">
        <v>5</v>
      </c>
      <c r="R34">
        <f t="shared" si="1"/>
        <v>1.2132538408621876</v>
      </c>
      <c r="Y34">
        <v>49</v>
      </c>
      <c r="Z34">
        <v>60</v>
      </c>
      <c r="AA34">
        <v>89</v>
      </c>
      <c r="AB34" t="s">
        <v>6</v>
      </c>
      <c r="AC34">
        <f t="shared" si="2"/>
        <v>1.2132538408621876</v>
      </c>
      <c r="AJ34">
        <v>49</v>
      </c>
      <c r="AK34">
        <v>60</v>
      </c>
      <c r="AL34">
        <v>89</v>
      </c>
      <c r="AM34" t="s">
        <v>6</v>
      </c>
      <c r="AN34">
        <f t="shared" si="3"/>
        <v>1.2132538408621876</v>
      </c>
    </row>
    <row r="35" spans="3:41" x14ac:dyDescent="0.3">
      <c r="C35">
        <v>49</v>
      </c>
      <c r="D35">
        <v>60</v>
      </c>
      <c r="E35">
        <v>89</v>
      </c>
      <c r="F35" t="s">
        <v>6</v>
      </c>
      <c r="G35">
        <f t="shared" si="0"/>
        <v>1.2132538408621876</v>
      </c>
      <c r="N35">
        <v>49</v>
      </c>
      <c r="O35">
        <v>60</v>
      </c>
      <c r="P35">
        <v>89</v>
      </c>
      <c r="Q35" t="s">
        <v>6</v>
      </c>
      <c r="R35">
        <f t="shared" si="1"/>
        <v>1.2132538408621876</v>
      </c>
      <c r="S35">
        <f>GEOMEAN(R34:R35)</f>
        <v>1.2132538408621876</v>
      </c>
      <c r="Y35">
        <v>49</v>
      </c>
      <c r="Z35">
        <v>60</v>
      </c>
      <c r="AA35">
        <v>89</v>
      </c>
      <c r="AB35" t="s">
        <v>6</v>
      </c>
      <c r="AC35">
        <f t="shared" si="2"/>
        <v>1.2132538408621876</v>
      </c>
      <c r="AJ35">
        <v>49</v>
      </c>
      <c r="AK35">
        <v>60</v>
      </c>
      <c r="AL35">
        <v>89</v>
      </c>
      <c r="AM35" t="s">
        <v>6</v>
      </c>
      <c r="AN35">
        <f t="shared" si="3"/>
        <v>1.2132538408621876</v>
      </c>
    </row>
    <row r="36" spans="3:41" x14ac:dyDescent="0.3">
      <c r="C36">
        <v>49</v>
      </c>
      <c r="D36">
        <v>60</v>
      </c>
      <c r="E36">
        <v>89</v>
      </c>
      <c r="F36" t="s">
        <v>6</v>
      </c>
      <c r="G36">
        <f t="shared" si="0"/>
        <v>1.2132538408621876</v>
      </c>
      <c r="N36">
        <v>49</v>
      </c>
      <c r="O36">
        <v>60</v>
      </c>
      <c r="P36">
        <v>89</v>
      </c>
      <c r="Q36" t="s">
        <v>6</v>
      </c>
      <c r="R36">
        <f t="shared" si="1"/>
        <v>1.2132538408621876</v>
      </c>
      <c r="Y36">
        <v>49</v>
      </c>
      <c r="Z36">
        <v>60</v>
      </c>
      <c r="AA36">
        <v>89</v>
      </c>
      <c r="AB36" t="s">
        <v>6</v>
      </c>
      <c r="AC36">
        <f t="shared" si="2"/>
        <v>1.2132538408621876</v>
      </c>
      <c r="AJ36">
        <v>49</v>
      </c>
      <c r="AK36">
        <v>60</v>
      </c>
      <c r="AL36">
        <v>89</v>
      </c>
      <c r="AM36" t="s">
        <v>6</v>
      </c>
      <c r="AN36">
        <f t="shared" si="3"/>
        <v>1.2132538408621876</v>
      </c>
    </row>
    <row r="37" spans="3:41" x14ac:dyDescent="0.3">
      <c r="C37">
        <v>49</v>
      </c>
      <c r="D37">
        <v>60</v>
      </c>
      <c r="E37">
        <v>89</v>
      </c>
      <c r="F37" t="s">
        <v>6</v>
      </c>
      <c r="G37">
        <f t="shared" si="0"/>
        <v>1.2132538408621876</v>
      </c>
      <c r="N37">
        <v>49</v>
      </c>
      <c r="O37">
        <v>60</v>
      </c>
      <c r="P37">
        <v>89</v>
      </c>
      <c r="Q37" t="s">
        <v>6</v>
      </c>
      <c r="R37">
        <f t="shared" si="1"/>
        <v>1.2132538408621876</v>
      </c>
      <c r="Y37">
        <v>49</v>
      </c>
      <c r="Z37">
        <v>60</v>
      </c>
      <c r="AA37">
        <v>89</v>
      </c>
      <c r="AB37" t="s">
        <v>6</v>
      </c>
      <c r="AC37">
        <f t="shared" si="2"/>
        <v>1.2132538408621876</v>
      </c>
      <c r="AJ37">
        <v>49</v>
      </c>
      <c r="AK37">
        <v>60</v>
      </c>
      <c r="AL37">
        <v>89</v>
      </c>
      <c r="AM37" t="s">
        <v>6</v>
      </c>
      <c r="AN37">
        <f t="shared" si="3"/>
        <v>1.2132538408621876</v>
      </c>
    </row>
    <row r="38" spans="3:41" x14ac:dyDescent="0.3">
      <c r="C38">
        <v>49</v>
      </c>
      <c r="D38">
        <v>60</v>
      </c>
      <c r="E38">
        <v>89</v>
      </c>
      <c r="F38" t="s">
        <v>6</v>
      </c>
      <c r="G38">
        <f t="shared" si="0"/>
        <v>1.2132538408621876</v>
      </c>
      <c r="N38">
        <v>49</v>
      </c>
      <c r="O38">
        <v>60</v>
      </c>
      <c r="P38">
        <v>89</v>
      </c>
      <c r="Q38" t="s">
        <v>6</v>
      </c>
      <c r="R38">
        <f t="shared" si="1"/>
        <v>1.2132538408621876</v>
      </c>
      <c r="Y38">
        <v>49</v>
      </c>
      <c r="Z38">
        <v>60</v>
      </c>
      <c r="AA38">
        <v>89</v>
      </c>
      <c r="AB38" t="s">
        <v>6</v>
      </c>
      <c r="AC38">
        <f t="shared" si="2"/>
        <v>1.2132538408621876</v>
      </c>
      <c r="AJ38">
        <v>49</v>
      </c>
      <c r="AK38">
        <v>60</v>
      </c>
      <c r="AL38">
        <v>89</v>
      </c>
      <c r="AM38" t="s">
        <v>5</v>
      </c>
      <c r="AN38">
        <f t="shared" si="3"/>
        <v>1.2132538408621876</v>
      </c>
    </row>
    <row r="39" spans="3:41" x14ac:dyDescent="0.3">
      <c r="C39">
        <v>49</v>
      </c>
      <c r="D39">
        <v>60</v>
      </c>
      <c r="E39">
        <v>89</v>
      </c>
      <c r="F39" t="s">
        <v>6</v>
      </c>
      <c r="G39">
        <f t="shared" si="0"/>
        <v>1.2132538408621876</v>
      </c>
      <c r="N39">
        <v>49</v>
      </c>
      <c r="O39">
        <v>60</v>
      </c>
      <c r="P39">
        <v>89</v>
      </c>
      <c r="Q39" t="s">
        <v>5</v>
      </c>
      <c r="R39">
        <f t="shared" si="1"/>
        <v>1.2132538408621876</v>
      </c>
      <c r="Y39">
        <v>49</v>
      </c>
      <c r="Z39">
        <v>60</v>
      </c>
      <c r="AA39">
        <v>89</v>
      </c>
      <c r="AB39" t="s">
        <v>5</v>
      </c>
      <c r="AC39">
        <f t="shared" si="2"/>
        <v>1.2132538408621876</v>
      </c>
      <c r="AJ39">
        <v>49</v>
      </c>
      <c r="AK39">
        <v>60</v>
      </c>
      <c r="AL39">
        <v>89</v>
      </c>
      <c r="AM39" t="s">
        <v>6</v>
      </c>
      <c r="AN39">
        <f t="shared" si="3"/>
        <v>1.2132538408621876</v>
      </c>
      <c r="AO39">
        <f>GEOMEAN(AN38:AN39)</f>
        <v>1.2132538408621876</v>
      </c>
    </row>
    <row r="40" spans="3:41" x14ac:dyDescent="0.3">
      <c r="C40">
        <v>49</v>
      </c>
      <c r="D40">
        <v>60</v>
      </c>
      <c r="E40">
        <v>89</v>
      </c>
      <c r="F40" t="s">
        <v>6</v>
      </c>
      <c r="G40">
        <f t="shared" si="0"/>
        <v>1.2132538408621876</v>
      </c>
      <c r="N40">
        <v>49</v>
      </c>
      <c r="O40">
        <v>60</v>
      </c>
      <c r="P40">
        <v>89</v>
      </c>
      <c r="Q40" t="s">
        <v>6</v>
      </c>
      <c r="R40">
        <f t="shared" si="1"/>
        <v>1.2132538408621876</v>
      </c>
      <c r="S40">
        <f>GEOMEAN(R39:R40)</f>
        <v>1.2132538408621876</v>
      </c>
      <c r="Y40">
        <v>49</v>
      </c>
      <c r="Z40">
        <v>60</v>
      </c>
      <c r="AA40">
        <v>89</v>
      </c>
      <c r="AB40" t="s">
        <v>6</v>
      </c>
      <c r="AC40">
        <f t="shared" si="2"/>
        <v>1.2132538408621876</v>
      </c>
      <c r="AD40">
        <f>GEOMEAN(AC39:AC40)</f>
        <v>1.2132538408621876</v>
      </c>
      <c r="AJ40">
        <v>49</v>
      </c>
      <c r="AK40">
        <v>60</v>
      </c>
      <c r="AL40">
        <v>89</v>
      </c>
      <c r="AM40" t="s">
        <v>6</v>
      </c>
      <c r="AN40">
        <f t="shared" si="3"/>
        <v>1.2132538408621876</v>
      </c>
    </row>
    <row r="41" spans="3:41" x14ac:dyDescent="0.3">
      <c r="C41">
        <v>49</v>
      </c>
      <c r="D41">
        <v>60</v>
      </c>
      <c r="E41">
        <v>89</v>
      </c>
      <c r="F41" t="s">
        <v>6</v>
      </c>
      <c r="G41">
        <f t="shared" si="0"/>
        <v>1.2132538408621876</v>
      </c>
      <c r="N41">
        <v>49</v>
      </c>
      <c r="O41">
        <v>60</v>
      </c>
      <c r="P41">
        <v>89</v>
      </c>
      <c r="Q41" t="s">
        <v>5</v>
      </c>
      <c r="R41">
        <f t="shared" si="1"/>
        <v>1.2132538408621876</v>
      </c>
      <c r="Y41">
        <v>49</v>
      </c>
      <c r="Z41">
        <v>60</v>
      </c>
      <c r="AA41">
        <v>89</v>
      </c>
      <c r="AB41" t="s">
        <v>6</v>
      </c>
      <c r="AC41">
        <f t="shared" si="2"/>
        <v>1.2132538408621876</v>
      </c>
      <c r="AJ41">
        <v>49</v>
      </c>
      <c r="AK41">
        <v>60</v>
      </c>
      <c r="AL41">
        <v>89</v>
      </c>
      <c r="AM41" t="s">
        <v>5</v>
      </c>
      <c r="AN41">
        <f t="shared" si="3"/>
        <v>1.2132538408621876</v>
      </c>
    </row>
    <row r="42" spans="3:41" x14ac:dyDescent="0.3">
      <c r="C42">
        <v>49</v>
      </c>
      <c r="D42">
        <v>60</v>
      </c>
      <c r="E42">
        <v>89</v>
      </c>
      <c r="F42" t="s">
        <v>6</v>
      </c>
      <c r="G42">
        <f t="shared" si="0"/>
        <v>1.2132538408621876</v>
      </c>
      <c r="N42">
        <v>49</v>
      </c>
      <c r="O42">
        <v>60</v>
      </c>
      <c r="P42">
        <v>89</v>
      </c>
      <c r="Q42" t="s">
        <v>5</v>
      </c>
      <c r="R42">
        <f t="shared" si="1"/>
        <v>1.2132538408621876</v>
      </c>
      <c r="Y42">
        <v>49</v>
      </c>
      <c r="Z42">
        <v>60</v>
      </c>
      <c r="AA42">
        <v>89</v>
      </c>
      <c r="AB42" t="s">
        <v>6</v>
      </c>
      <c r="AC42">
        <f t="shared" si="2"/>
        <v>1.2132538408621876</v>
      </c>
      <c r="AJ42">
        <v>49</v>
      </c>
      <c r="AK42">
        <v>60</v>
      </c>
      <c r="AL42">
        <v>89</v>
      </c>
      <c r="AM42" t="s">
        <v>5</v>
      </c>
      <c r="AN42">
        <f t="shared" si="3"/>
        <v>1.2132538408621876</v>
      </c>
    </row>
    <row r="43" spans="3:41" x14ac:dyDescent="0.3">
      <c r="C43">
        <v>49</v>
      </c>
      <c r="D43">
        <v>60</v>
      </c>
      <c r="E43">
        <v>89</v>
      </c>
      <c r="F43" t="s">
        <v>6</v>
      </c>
      <c r="G43">
        <f t="shared" si="0"/>
        <v>1.2132538408621876</v>
      </c>
      <c r="N43">
        <v>49</v>
      </c>
      <c r="O43">
        <v>60</v>
      </c>
      <c r="P43">
        <v>89</v>
      </c>
      <c r="Q43" t="s">
        <v>6</v>
      </c>
      <c r="R43">
        <f t="shared" si="1"/>
        <v>1.2132538408621876</v>
      </c>
      <c r="S43">
        <f>GEOMEAN(R42:R43)</f>
        <v>1.2132538408621876</v>
      </c>
      <c r="Y43">
        <v>49</v>
      </c>
      <c r="Z43">
        <v>60</v>
      </c>
      <c r="AA43">
        <v>89</v>
      </c>
      <c r="AB43" t="s">
        <v>5</v>
      </c>
      <c r="AC43">
        <f t="shared" si="2"/>
        <v>1.2132538408621876</v>
      </c>
      <c r="AJ43">
        <v>49</v>
      </c>
      <c r="AK43">
        <v>60</v>
      </c>
      <c r="AL43">
        <v>89</v>
      </c>
      <c r="AM43" t="s">
        <v>5</v>
      </c>
      <c r="AN43">
        <f t="shared" si="3"/>
        <v>1.2132538408621876</v>
      </c>
    </row>
    <row r="44" spans="3:41" x14ac:dyDescent="0.3">
      <c r="C44">
        <v>49</v>
      </c>
      <c r="D44">
        <v>60</v>
      </c>
      <c r="E44">
        <v>89</v>
      </c>
      <c r="F44" t="s">
        <v>6</v>
      </c>
      <c r="G44">
        <f t="shared" si="0"/>
        <v>1.2132538408621876</v>
      </c>
      <c r="N44">
        <v>49</v>
      </c>
      <c r="O44">
        <v>60</v>
      </c>
      <c r="P44">
        <v>89</v>
      </c>
      <c r="Q44" t="s">
        <v>5</v>
      </c>
      <c r="R44">
        <f t="shared" si="1"/>
        <v>1.2132538408621876</v>
      </c>
      <c r="Y44">
        <v>49</v>
      </c>
      <c r="Z44">
        <v>60</v>
      </c>
      <c r="AA44">
        <v>89</v>
      </c>
      <c r="AB44" t="s">
        <v>6</v>
      </c>
      <c r="AC44">
        <f t="shared" si="2"/>
        <v>1.2132538408621876</v>
      </c>
      <c r="AD44">
        <f>GEOMEAN(AC43:AC44)</f>
        <v>1.2132538408621876</v>
      </c>
      <c r="AJ44">
        <v>49</v>
      </c>
      <c r="AK44">
        <v>60</v>
      </c>
      <c r="AL44">
        <v>89</v>
      </c>
      <c r="AM44" t="s">
        <v>6</v>
      </c>
      <c r="AN44">
        <f t="shared" si="3"/>
        <v>1.2132538408621876</v>
      </c>
      <c r="AO44">
        <f>GEOMEAN(AN43:AN44)</f>
        <v>1.2132538408621876</v>
      </c>
    </row>
    <row r="45" spans="3:41" x14ac:dyDescent="0.3">
      <c r="C45">
        <v>49</v>
      </c>
      <c r="D45">
        <v>60</v>
      </c>
      <c r="E45">
        <v>89</v>
      </c>
      <c r="F45" t="s">
        <v>6</v>
      </c>
      <c r="G45">
        <f t="shared" si="0"/>
        <v>1.2132538408621876</v>
      </c>
      <c r="N45">
        <v>49</v>
      </c>
      <c r="O45">
        <v>60</v>
      </c>
      <c r="P45">
        <v>89</v>
      </c>
      <c r="Q45" t="s">
        <v>6</v>
      </c>
      <c r="R45">
        <f t="shared" si="1"/>
        <v>1.2132538408621876</v>
      </c>
      <c r="S45">
        <f>GEOMEAN(R44:R45)</f>
        <v>1.2132538408621876</v>
      </c>
      <c r="Y45">
        <v>49</v>
      </c>
      <c r="Z45">
        <v>60</v>
      </c>
      <c r="AA45">
        <v>89</v>
      </c>
      <c r="AB45" t="s">
        <v>6</v>
      </c>
      <c r="AC45">
        <f t="shared" si="2"/>
        <v>1.2132538408621876</v>
      </c>
      <c r="AJ45">
        <v>49</v>
      </c>
      <c r="AK45">
        <v>60</v>
      </c>
      <c r="AL45">
        <v>89</v>
      </c>
      <c r="AM45" t="s">
        <v>6</v>
      </c>
      <c r="AN45">
        <f t="shared" si="3"/>
        <v>1.2132538408621876</v>
      </c>
    </row>
    <row r="46" spans="3:41" x14ac:dyDescent="0.3">
      <c r="C46">
        <v>40</v>
      </c>
      <c r="D46">
        <v>55</v>
      </c>
      <c r="E46">
        <v>62</v>
      </c>
      <c r="F46" t="s">
        <v>5</v>
      </c>
      <c r="G46">
        <f t="shared" si="0"/>
        <v>1.3588709677419355</v>
      </c>
      <c r="H46">
        <f>GEOMEAN(G46:G47)</f>
        <v>1.3588709677419355</v>
      </c>
      <c r="N46">
        <v>49</v>
      </c>
      <c r="O46">
        <v>60</v>
      </c>
      <c r="P46">
        <v>89</v>
      </c>
      <c r="Q46" t="s">
        <v>6</v>
      </c>
      <c r="R46">
        <f t="shared" si="1"/>
        <v>1.2132538408621876</v>
      </c>
      <c r="Y46">
        <v>49</v>
      </c>
      <c r="Z46">
        <v>60</v>
      </c>
      <c r="AA46">
        <v>89</v>
      </c>
      <c r="AB46" t="s">
        <v>6</v>
      </c>
      <c r="AC46">
        <f t="shared" si="2"/>
        <v>1.2132538408621876</v>
      </c>
      <c r="AJ46">
        <v>49</v>
      </c>
      <c r="AK46">
        <v>60</v>
      </c>
      <c r="AL46">
        <v>89</v>
      </c>
      <c r="AM46" t="s">
        <v>6</v>
      </c>
      <c r="AN46">
        <f t="shared" si="3"/>
        <v>1.2132538408621876</v>
      </c>
    </row>
    <row r="47" spans="3:41" x14ac:dyDescent="0.3">
      <c r="C47">
        <v>40</v>
      </c>
      <c r="D47">
        <v>55</v>
      </c>
      <c r="E47">
        <v>62</v>
      </c>
      <c r="F47" t="s">
        <v>6</v>
      </c>
      <c r="G47">
        <f t="shared" si="0"/>
        <v>1.3588709677419355</v>
      </c>
      <c r="N47">
        <v>40</v>
      </c>
      <c r="O47">
        <v>55</v>
      </c>
      <c r="P47">
        <v>62</v>
      </c>
      <c r="Q47" t="s">
        <v>6</v>
      </c>
      <c r="R47">
        <f t="shared" si="1"/>
        <v>1.3588709677419355</v>
      </c>
      <c r="Y47">
        <v>40</v>
      </c>
      <c r="Z47">
        <v>55</v>
      </c>
      <c r="AA47">
        <v>62</v>
      </c>
      <c r="AB47" t="s">
        <v>6</v>
      </c>
      <c r="AC47">
        <f t="shared" si="2"/>
        <v>1.3588709677419355</v>
      </c>
      <c r="AJ47">
        <v>40</v>
      </c>
      <c r="AK47">
        <v>55</v>
      </c>
      <c r="AL47">
        <v>62</v>
      </c>
      <c r="AM47" t="s">
        <v>5</v>
      </c>
      <c r="AN47">
        <f t="shared" si="3"/>
        <v>1.3588709677419355</v>
      </c>
    </row>
    <row r="48" spans="3:41" x14ac:dyDescent="0.3">
      <c r="C48">
        <v>40</v>
      </c>
      <c r="D48">
        <v>55</v>
      </c>
      <c r="E48">
        <v>62</v>
      </c>
      <c r="F48" t="s">
        <v>6</v>
      </c>
      <c r="G48">
        <f t="shared" si="0"/>
        <v>1.3588709677419355</v>
      </c>
      <c r="N48">
        <v>40</v>
      </c>
      <c r="O48">
        <v>55</v>
      </c>
      <c r="P48">
        <v>62</v>
      </c>
      <c r="Q48" t="s">
        <v>6</v>
      </c>
      <c r="R48">
        <f t="shared" si="1"/>
        <v>1.3588709677419355</v>
      </c>
      <c r="Y48">
        <v>40</v>
      </c>
      <c r="Z48">
        <v>55</v>
      </c>
      <c r="AA48">
        <v>62</v>
      </c>
      <c r="AB48" t="s">
        <v>6</v>
      </c>
      <c r="AC48">
        <f t="shared" si="2"/>
        <v>1.3588709677419355</v>
      </c>
      <c r="AJ48">
        <v>40</v>
      </c>
      <c r="AK48">
        <v>55</v>
      </c>
      <c r="AL48">
        <v>62</v>
      </c>
      <c r="AM48" t="s">
        <v>5</v>
      </c>
      <c r="AN48">
        <f t="shared" si="3"/>
        <v>1.3588709677419355</v>
      </c>
    </row>
    <row r="49" spans="3:41" x14ac:dyDescent="0.3">
      <c r="C49">
        <v>40</v>
      </c>
      <c r="D49">
        <v>55</v>
      </c>
      <c r="E49">
        <v>62</v>
      </c>
      <c r="F49" t="s">
        <v>5</v>
      </c>
      <c r="G49">
        <f t="shared" si="0"/>
        <v>1.3588709677419355</v>
      </c>
      <c r="N49">
        <v>40</v>
      </c>
      <c r="O49">
        <v>55</v>
      </c>
      <c r="P49">
        <v>62</v>
      </c>
      <c r="Q49" t="s">
        <v>5</v>
      </c>
      <c r="R49">
        <f t="shared" si="1"/>
        <v>1.3588709677419355</v>
      </c>
      <c r="Y49">
        <v>40</v>
      </c>
      <c r="Z49">
        <v>55</v>
      </c>
      <c r="AA49">
        <v>62</v>
      </c>
      <c r="AB49" t="s">
        <v>5</v>
      </c>
      <c r="AC49">
        <f t="shared" si="2"/>
        <v>1.3588709677419355</v>
      </c>
      <c r="AJ49">
        <v>40</v>
      </c>
      <c r="AK49">
        <v>55</v>
      </c>
      <c r="AL49">
        <v>62</v>
      </c>
      <c r="AM49" t="s">
        <v>5</v>
      </c>
      <c r="AN49">
        <f t="shared" si="3"/>
        <v>1.3588709677419355</v>
      </c>
    </row>
    <row r="50" spans="3:41" x14ac:dyDescent="0.3">
      <c r="C50">
        <v>40</v>
      </c>
      <c r="D50">
        <v>55</v>
      </c>
      <c r="E50">
        <v>62</v>
      </c>
      <c r="F50" t="s">
        <v>6</v>
      </c>
      <c r="G50">
        <f t="shared" si="0"/>
        <v>1.3588709677419355</v>
      </c>
      <c r="H50">
        <f>GEOMEAN(G49:G50)</f>
        <v>1.3588709677419355</v>
      </c>
      <c r="N50">
        <v>40</v>
      </c>
      <c r="O50">
        <v>55</v>
      </c>
      <c r="P50">
        <v>62</v>
      </c>
      <c r="Q50" t="s">
        <v>6</v>
      </c>
      <c r="R50">
        <f t="shared" si="1"/>
        <v>1.3588709677419355</v>
      </c>
      <c r="S50">
        <f>GEOMEAN(R49:R50)</f>
        <v>1.3588709677419355</v>
      </c>
      <c r="Y50">
        <v>40</v>
      </c>
      <c r="Z50">
        <v>55</v>
      </c>
      <c r="AA50">
        <v>62</v>
      </c>
      <c r="AB50" t="s">
        <v>6</v>
      </c>
      <c r="AC50">
        <f t="shared" si="2"/>
        <v>1.3588709677419355</v>
      </c>
      <c r="AD50">
        <f>GEOMEAN(AC49:AC50)</f>
        <v>1.3588709677419355</v>
      </c>
      <c r="AJ50">
        <v>40</v>
      </c>
      <c r="AK50">
        <v>55</v>
      </c>
      <c r="AL50">
        <v>62</v>
      </c>
      <c r="AM50" t="s">
        <v>5</v>
      </c>
      <c r="AN50">
        <f t="shared" si="3"/>
        <v>1.3588709677419355</v>
      </c>
    </row>
    <row r="51" spans="3:41" x14ac:dyDescent="0.3">
      <c r="C51">
        <v>40</v>
      </c>
      <c r="D51">
        <v>55</v>
      </c>
      <c r="E51">
        <v>62</v>
      </c>
      <c r="F51" t="s">
        <v>6</v>
      </c>
      <c r="G51">
        <f t="shared" si="0"/>
        <v>1.3588709677419355</v>
      </c>
      <c r="N51">
        <v>40</v>
      </c>
      <c r="O51">
        <v>55</v>
      </c>
      <c r="P51">
        <v>62</v>
      </c>
      <c r="Q51" t="s">
        <v>5</v>
      </c>
      <c r="R51">
        <f t="shared" si="1"/>
        <v>1.3588709677419355</v>
      </c>
      <c r="Y51">
        <v>40</v>
      </c>
      <c r="Z51">
        <v>55</v>
      </c>
      <c r="AA51">
        <v>62</v>
      </c>
      <c r="AB51" t="s">
        <v>5</v>
      </c>
      <c r="AC51">
        <f t="shared" si="2"/>
        <v>1.3588709677419355</v>
      </c>
      <c r="AJ51">
        <v>40</v>
      </c>
      <c r="AK51">
        <v>55</v>
      </c>
      <c r="AL51">
        <v>62</v>
      </c>
      <c r="AM51" t="s">
        <v>5</v>
      </c>
      <c r="AN51">
        <f t="shared" si="3"/>
        <v>1.3588709677419355</v>
      </c>
    </row>
    <row r="52" spans="3:41" x14ac:dyDescent="0.3">
      <c r="C52">
        <v>40</v>
      </c>
      <c r="D52">
        <v>55</v>
      </c>
      <c r="E52">
        <v>62</v>
      </c>
      <c r="F52" t="s">
        <v>6</v>
      </c>
      <c r="G52">
        <f t="shared" si="0"/>
        <v>1.3588709677419355</v>
      </c>
      <c r="N52">
        <v>40</v>
      </c>
      <c r="O52">
        <v>55</v>
      </c>
      <c r="P52">
        <v>62</v>
      </c>
      <c r="Q52" t="s">
        <v>5</v>
      </c>
      <c r="R52">
        <f t="shared" si="1"/>
        <v>1.3588709677419355</v>
      </c>
      <c r="Y52">
        <v>40</v>
      </c>
      <c r="Z52">
        <v>55</v>
      </c>
      <c r="AA52">
        <v>62</v>
      </c>
      <c r="AB52" t="s">
        <v>6</v>
      </c>
      <c r="AC52">
        <f t="shared" si="2"/>
        <v>1.3588709677419355</v>
      </c>
      <c r="AD52">
        <f>GEOMEAN(AC51:AC52)</f>
        <v>1.3588709677419355</v>
      </c>
      <c r="AJ52">
        <v>40</v>
      </c>
      <c r="AK52">
        <v>55</v>
      </c>
      <c r="AL52">
        <v>62</v>
      </c>
      <c r="AM52" t="s">
        <v>5</v>
      </c>
      <c r="AN52">
        <f t="shared" si="3"/>
        <v>1.3588709677419355</v>
      </c>
    </row>
    <row r="53" spans="3:41" x14ac:dyDescent="0.3">
      <c r="C53">
        <v>40</v>
      </c>
      <c r="D53">
        <v>55</v>
      </c>
      <c r="E53">
        <v>62</v>
      </c>
      <c r="F53" t="s">
        <v>6</v>
      </c>
      <c r="G53">
        <f t="shared" si="0"/>
        <v>1.3588709677419355</v>
      </c>
      <c r="N53">
        <v>40</v>
      </c>
      <c r="O53">
        <v>55</v>
      </c>
      <c r="P53">
        <v>62</v>
      </c>
      <c r="Q53" t="s">
        <v>6</v>
      </c>
      <c r="R53">
        <f t="shared" si="1"/>
        <v>1.3588709677419355</v>
      </c>
      <c r="S53">
        <f>GEOMEAN(R52:R53)</f>
        <v>1.3588709677419355</v>
      </c>
      <c r="Y53">
        <v>40</v>
      </c>
      <c r="Z53">
        <v>55</v>
      </c>
      <c r="AA53">
        <v>62</v>
      </c>
      <c r="AB53" t="s">
        <v>6</v>
      </c>
      <c r="AC53">
        <f t="shared" si="2"/>
        <v>1.3588709677419355</v>
      </c>
      <c r="AJ53">
        <v>40</v>
      </c>
      <c r="AK53">
        <v>55</v>
      </c>
      <c r="AL53">
        <v>62</v>
      </c>
      <c r="AM53" t="s">
        <v>6</v>
      </c>
      <c r="AN53">
        <f t="shared" si="3"/>
        <v>1.3588709677419355</v>
      </c>
      <c r="AO53">
        <f>GEOMEAN(AN52:AN53)</f>
        <v>1.3588709677419355</v>
      </c>
    </row>
    <row r="54" spans="3:41" x14ac:dyDescent="0.3">
      <c r="C54">
        <v>40</v>
      </c>
      <c r="D54">
        <v>55</v>
      </c>
      <c r="E54">
        <v>62</v>
      </c>
      <c r="F54" t="s">
        <v>6</v>
      </c>
      <c r="G54">
        <f t="shared" si="0"/>
        <v>1.3588709677419355</v>
      </c>
      <c r="N54">
        <v>40</v>
      </c>
      <c r="O54">
        <v>55</v>
      </c>
      <c r="P54">
        <v>62</v>
      </c>
      <c r="Q54" t="s">
        <v>5</v>
      </c>
      <c r="R54">
        <f t="shared" si="1"/>
        <v>1.3588709677419355</v>
      </c>
      <c r="Y54">
        <v>40</v>
      </c>
      <c r="Z54">
        <v>55</v>
      </c>
      <c r="AA54">
        <v>62</v>
      </c>
      <c r="AB54" t="s">
        <v>6</v>
      </c>
      <c r="AC54">
        <f t="shared" si="2"/>
        <v>1.3588709677419355</v>
      </c>
      <c r="AJ54">
        <v>40</v>
      </c>
      <c r="AK54">
        <v>55</v>
      </c>
      <c r="AL54">
        <v>62</v>
      </c>
      <c r="AM54" t="s">
        <v>6</v>
      </c>
      <c r="AN54">
        <f t="shared" si="3"/>
        <v>1.3588709677419355</v>
      </c>
    </row>
    <row r="55" spans="3:41" x14ac:dyDescent="0.3">
      <c r="C55">
        <v>40</v>
      </c>
      <c r="D55">
        <v>55</v>
      </c>
      <c r="E55">
        <v>62</v>
      </c>
      <c r="F55" t="s">
        <v>6</v>
      </c>
      <c r="G55">
        <f t="shared" si="0"/>
        <v>1.3588709677419355</v>
      </c>
      <c r="N55">
        <v>40</v>
      </c>
      <c r="O55">
        <v>55</v>
      </c>
      <c r="P55">
        <v>62</v>
      </c>
      <c r="Q55" t="s">
        <v>6</v>
      </c>
      <c r="R55">
        <f t="shared" si="1"/>
        <v>1.3588709677419355</v>
      </c>
      <c r="S55">
        <f>GEOMEAN(R54:R55)</f>
        <v>1.3588709677419355</v>
      </c>
      <c r="Y55">
        <v>40</v>
      </c>
      <c r="Z55">
        <v>55</v>
      </c>
      <c r="AA55">
        <v>62</v>
      </c>
      <c r="AB55" t="s">
        <v>6</v>
      </c>
      <c r="AC55">
        <f t="shared" si="2"/>
        <v>1.3588709677419355</v>
      </c>
      <c r="AJ55">
        <v>40</v>
      </c>
      <c r="AK55">
        <v>55</v>
      </c>
      <c r="AL55">
        <v>62</v>
      </c>
      <c r="AM55" t="s">
        <v>6</v>
      </c>
      <c r="AN55">
        <f t="shared" si="3"/>
        <v>1.3588709677419355</v>
      </c>
    </row>
    <row r="56" spans="3:41" x14ac:dyDescent="0.3">
      <c r="C56">
        <v>40</v>
      </c>
      <c r="D56">
        <v>55</v>
      </c>
      <c r="E56">
        <v>62</v>
      </c>
      <c r="F56" t="s">
        <v>6</v>
      </c>
      <c r="G56">
        <f t="shared" si="0"/>
        <v>1.3588709677419355</v>
      </c>
      <c r="N56">
        <v>40</v>
      </c>
      <c r="O56">
        <v>55</v>
      </c>
      <c r="P56">
        <v>62</v>
      </c>
      <c r="Q56" t="s">
        <v>6</v>
      </c>
      <c r="R56">
        <f t="shared" si="1"/>
        <v>1.3588709677419355</v>
      </c>
      <c r="Y56">
        <v>40</v>
      </c>
      <c r="Z56">
        <v>55</v>
      </c>
      <c r="AA56">
        <v>62</v>
      </c>
      <c r="AB56" t="s">
        <v>6</v>
      </c>
      <c r="AC56">
        <f t="shared" si="2"/>
        <v>1.3588709677419355</v>
      </c>
      <c r="AJ56">
        <v>40</v>
      </c>
      <c r="AK56">
        <v>55</v>
      </c>
      <c r="AL56">
        <v>62</v>
      </c>
      <c r="AM56" t="s">
        <v>5</v>
      </c>
      <c r="AN56">
        <f t="shared" si="3"/>
        <v>1.3588709677419355</v>
      </c>
    </row>
    <row r="57" spans="3:41" x14ac:dyDescent="0.3">
      <c r="C57">
        <v>40</v>
      </c>
      <c r="D57">
        <v>55</v>
      </c>
      <c r="E57">
        <v>62</v>
      </c>
      <c r="F57" t="s">
        <v>6</v>
      </c>
      <c r="G57">
        <f t="shared" si="0"/>
        <v>1.3588709677419355</v>
      </c>
      <c r="N57">
        <v>40</v>
      </c>
      <c r="O57">
        <v>55</v>
      </c>
      <c r="P57">
        <v>62</v>
      </c>
      <c r="Q57" t="s">
        <v>6</v>
      </c>
      <c r="R57">
        <f t="shared" si="1"/>
        <v>1.3588709677419355</v>
      </c>
      <c r="Y57">
        <v>40</v>
      </c>
      <c r="Z57">
        <v>55</v>
      </c>
      <c r="AA57">
        <v>62</v>
      </c>
      <c r="AB57" t="s">
        <v>5</v>
      </c>
      <c r="AC57">
        <f t="shared" si="2"/>
        <v>1.3588709677419355</v>
      </c>
      <c r="AJ57">
        <v>40</v>
      </c>
      <c r="AK57">
        <v>55</v>
      </c>
      <c r="AL57">
        <v>62</v>
      </c>
      <c r="AM57" t="s">
        <v>6</v>
      </c>
      <c r="AN57">
        <f t="shared" si="3"/>
        <v>1.3588709677419355</v>
      </c>
      <c r="AO57">
        <f>GEOMEAN(AN56:AN57)</f>
        <v>1.3588709677419355</v>
      </c>
    </row>
    <row r="58" spans="3:41" x14ac:dyDescent="0.3">
      <c r="C58">
        <v>40</v>
      </c>
      <c r="D58">
        <v>55</v>
      </c>
      <c r="E58">
        <v>62</v>
      </c>
      <c r="F58" t="s">
        <v>6</v>
      </c>
      <c r="G58">
        <f t="shared" si="0"/>
        <v>1.3588709677419355</v>
      </c>
      <c r="N58">
        <v>40</v>
      </c>
      <c r="O58">
        <v>55</v>
      </c>
      <c r="P58">
        <v>62</v>
      </c>
      <c r="Q58" t="s">
        <v>6</v>
      </c>
      <c r="R58">
        <f t="shared" si="1"/>
        <v>1.3588709677419355</v>
      </c>
      <c r="Y58">
        <v>40</v>
      </c>
      <c r="Z58">
        <v>55</v>
      </c>
      <c r="AA58">
        <v>62</v>
      </c>
      <c r="AB58" t="s">
        <v>5</v>
      </c>
      <c r="AC58">
        <f t="shared" si="2"/>
        <v>1.3588709677419355</v>
      </c>
      <c r="AJ58">
        <v>40</v>
      </c>
      <c r="AK58">
        <v>55</v>
      </c>
      <c r="AL58">
        <v>62</v>
      </c>
      <c r="AM58" t="s">
        <v>5</v>
      </c>
      <c r="AN58">
        <f t="shared" si="3"/>
        <v>1.3588709677419355</v>
      </c>
    </row>
    <row r="59" spans="3:41" x14ac:dyDescent="0.3">
      <c r="C59">
        <v>40</v>
      </c>
      <c r="D59">
        <v>55</v>
      </c>
      <c r="E59">
        <v>62</v>
      </c>
      <c r="F59" t="s">
        <v>6</v>
      </c>
      <c r="G59">
        <f t="shared" si="0"/>
        <v>1.3588709677419355</v>
      </c>
      <c r="N59">
        <v>40</v>
      </c>
      <c r="O59">
        <v>55</v>
      </c>
      <c r="P59">
        <v>62</v>
      </c>
      <c r="Q59" t="s">
        <v>6</v>
      </c>
      <c r="R59">
        <f t="shared" si="1"/>
        <v>1.3588709677419355</v>
      </c>
      <c r="Y59">
        <v>40</v>
      </c>
      <c r="Z59">
        <v>55</v>
      </c>
      <c r="AA59">
        <v>62</v>
      </c>
      <c r="AB59" t="s">
        <v>5</v>
      </c>
      <c r="AC59">
        <f t="shared" si="2"/>
        <v>1.3588709677419355</v>
      </c>
      <c r="AJ59">
        <v>40</v>
      </c>
      <c r="AK59">
        <v>55</v>
      </c>
      <c r="AL59">
        <v>62</v>
      </c>
      <c r="AM59" t="s">
        <v>5</v>
      </c>
      <c r="AN59">
        <f t="shared" si="3"/>
        <v>1.3588709677419355</v>
      </c>
    </row>
    <row r="60" spans="3:41" x14ac:dyDescent="0.3">
      <c r="C60">
        <v>40</v>
      </c>
      <c r="D60">
        <v>55</v>
      </c>
      <c r="E60">
        <v>62</v>
      </c>
      <c r="F60" t="s">
        <v>6</v>
      </c>
      <c r="G60">
        <f t="shared" si="0"/>
        <v>1.3588709677419355</v>
      </c>
      <c r="N60">
        <v>40</v>
      </c>
      <c r="O60">
        <v>55</v>
      </c>
      <c r="P60">
        <v>62</v>
      </c>
      <c r="Q60" t="s">
        <v>6</v>
      </c>
      <c r="R60">
        <f t="shared" si="1"/>
        <v>1.3588709677419355</v>
      </c>
      <c r="Y60">
        <v>40</v>
      </c>
      <c r="Z60">
        <v>55</v>
      </c>
      <c r="AA60">
        <v>62</v>
      </c>
      <c r="AB60" t="s">
        <v>6</v>
      </c>
      <c r="AC60">
        <f t="shared" si="2"/>
        <v>1.3588709677419355</v>
      </c>
      <c r="AD60">
        <f>GEOMEAN(AC59:AC60)</f>
        <v>1.3588709677419355</v>
      </c>
      <c r="AJ60">
        <v>40</v>
      </c>
      <c r="AK60">
        <v>55</v>
      </c>
      <c r="AL60">
        <v>62</v>
      </c>
      <c r="AM60" t="s">
        <v>5</v>
      </c>
      <c r="AN60">
        <f t="shared" si="3"/>
        <v>1.3588709677419355</v>
      </c>
    </row>
    <row r="61" spans="3:41" x14ac:dyDescent="0.3">
      <c r="C61">
        <v>40</v>
      </c>
      <c r="D61">
        <v>55</v>
      </c>
      <c r="E61">
        <v>62</v>
      </c>
      <c r="F61" t="s">
        <v>6</v>
      </c>
      <c r="G61">
        <f t="shared" si="0"/>
        <v>1.3588709677419355</v>
      </c>
      <c r="N61">
        <v>40</v>
      </c>
      <c r="O61">
        <v>55</v>
      </c>
      <c r="P61">
        <v>62</v>
      </c>
      <c r="Q61" t="s">
        <v>5</v>
      </c>
      <c r="R61">
        <f t="shared" si="1"/>
        <v>1.3588709677419355</v>
      </c>
      <c r="Y61">
        <v>40</v>
      </c>
      <c r="Z61">
        <v>55</v>
      </c>
      <c r="AA61">
        <v>62</v>
      </c>
      <c r="AB61" t="s">
        <v>5</v>
      </c>
      <c r="AC61">
        <f t="shared" si="2"/>
        <v>1.3588709677419355</v>
      </c>
      <c r="AJ61">
        <v>40</v>
      </c>
      <c r="AK61">
        <v>55</v>
      </c>
      <c r="AL61">
        <v>62</v>
      </c>
      <c r="AM61" t="s">
        <v>6</v>
      </c>
      <c r="AN61">
        <f t="shared" si="3"/>
        <v>1.3588709677419355</v>
      </c>
      <c r="AO61">
        <f>GEOMEAN(AN60:AN61)</f>
        <v>1.3588709677419355</v>
      </c>
    </row>
    <row r="62" spans="3:41" x14ac:dyDescent="0.3">
      <c r="C62">
        <v>11</v>
      </c>
      <c r="D62">
        <v>30</v>
      </c>
      <c r="E62">
        <v>7</v>
      </c>
      <c r="F62" t="s">
        <v>5</v>
      </c>
      <c r="G62">
        <f t="shared" si="0"/>
        <v>2.5844155844155843</v>
      </c>
      <c r="N62">
        <v>11</v>
      </c>
      <c r="O62">
        <v>30</v>
      </c>
      <c r="P62">
        <v>7</v>
      </c>
      <c r="Q62" t="s">
        <v>5</v>
      </c>
      <c r="R62">
        <f t="shared" si="1"/>
        <v>2.5844155844155843</v>
      </c>
      <c r="Y62">
        <v>11</v>
      </c>
      <c r="Z62">
        <v>30</v>
      </c>
      <c r="AA62">
        <v>7</v>
      </c>
      <c r="AB62" t="s">
        <v>5</v>
      </c>
      <c r="AC62">
        <f t="shared" si="2"/>
        <v>2.5844155844155843</v>
      </c>
      <c r="AJ62">
        <v>11</v>
      </c>
      <c r="AK62">
        <v>30</v>
      </c>
      <c r="AL62">
        <v>7</v>
      </c>
      <c r="AM62" t="s">
        <v>5</v>
      </c>
      <c r="AN62">
        <f t="shared" si="3"/>
        <v>2.5844155844155843</v>
      </c>
    </row>
    <row r="63" spans="3:41" x14ac:dyDescent="0.3">
      <c r="C63">
        <v>11</v>
      </c>
      <c r="D63">
        <v>30</v>
      </c>
      <c r="E63">
        <v>7</v>
      </c>
      <c r="F63" t="s">
        <v>5</v>
      </c>
      <c r="G63">
        <f t="shared" si="0"/>
        <v>2.5844155844155843</v>
      </c>
      <c r="N63">
        <v>11</v>
      </c>
      <c r="O63">
        <v>30</v>
      </c>
      <c r="P63">
        <v>7</v>
      </c>
      <c r="Q63" t="s">
        <v>5</v>
      </c>
      <c r="R63">
        <f t="shared" si="1"/>
        <v>2.5844155844155843</v>
      </c>
      <c r="Y63">
        <v>11</v>
      </c>
      <c r="Z63">
        <v>30</v>
      </c>
      <c r="AA63">
        <v>7</v>
      </c>
      <c r="AB63" t="s">
        <v>5</v>
      </c>
      <c r="AC63">
        <f t="shared" si="2"/>
        <v>2.5844155844155843</v>
      </c>
      <c r="AJ63">
        <v>11</v>
      </c>
      <c r="AK63">
        <v>30</v>
      </c>
      <c r="AL63">
        <v>7</v>
      </c>
      <c r="AM63" t="s">
        <v>5</v>
      </c>
      <c r="AN63">
        <f t="shared" si="3"/>
        <v>2.5844155844155843</v>
      </c>
    </row>
    <row r="64" spans="3:41" x14ac:dyDescent="0.3">
      <c r="C64">
        <v>11</v>
      </c>
      <c r="D64">
        <v>30</v>
      </c>
      <c r="E64">
        <v>7</v>
      </c>
      <c r="F64" t="s">
        <v>5</v>
      </c>
      <c r="G64">
        <f t="shared" si="0"/>
        <v>2.5844155844155843</v>
      </c>
      <c r="N64">
        <v>11</v>
      </c>
      <c r="O64">
        <v>30</v>
      </c>
      <c r="P64">
        <v>7</v>
      </c>
      <c r="Q64" t="s">
        <v>5</v>
      </c>
      <c r="R64">
        <f t="shared" si="1"/>
        <v>2.5844155844155843</v>
      </c>
      <c r="Y64">
        <v>11</v>
      </c>
      <c r="Z64">
        <v>30</v>
      </c>
      <c r="AA64">
        <v>7</v>
      </c>
      <c r="AB64" t="s">
        <v>5</v>
      </c>
      <c r="AC64">
        <f t="shared" si="2"/>
        <v>2.5844155844155843</v>
      </c>
      <c r="AJ64">
        <v>11</v>
      </c>
      <c r="AK64">
        <v>30</v>
      </c>
      <c r="AL64">
        <v>7</v>
      </c>
      <c r="AM64" t="s">
        <v>5</v>
      </c>
      <c r="AN64">
        <f t="shared" si="3"/>
        <v>2.5844155844155843</v>
      </c>
    </row>
    <row r="65" spans="3:41" x14ac:dyDescent="0.3">
      <c r="C65">
        <v>11</v>
      </c>
      <c r="D65">
        <v>30</v>
      </c>
      <c r="E65">
        <v>7</v>
      </c>
      <c r="F65" t="s">
        <v>5</v>
      </c>
      <c r="G65">
        <f t="shared" si="0"/>
        <v>2.5844155844155843</v>
      </c>
      <c r="N65">
        <v>11</v>
      </c>
      <c r="O65">
        <v>30</v>
      </c>
      <c r="P65">
        <v>7</v>
      </c>
      <c r="Q65" t="s">
        <v>5</v>
      </c>
      <c r="R65">
        <f t="shared" si="1"/>
        <v>2.5844155844155843</v>
      </c>
      <c r="Y65">
        <v>11</v>
      </c>
      <c r="Z65">
        <v>30</v>
      </c>
      <c r="AA65">
        <v>7</v>
      </c>
      <c r="AB65" t="s">
        <v>5</v>
      </c>
      <c r="AC65">
        <f t="shared" si="2"/>
        <v>2.5844155844155843</v>
      </c>
      <c r="AJ65">
        <v>11</v>
      </c>
      <c r="AK65">
        <v>30</v>
      </c>
      <c r="AL65">
        <v>7</v>
      </c>
      <c r="AM65" t="s">
        <v>5</v>
      </c>
      <c r="AN65">
        <f t="shared" si="3"/>
        <v>2.5844155844155843</v>
      </c>
    </row>
    <row r="66" spans="3:41" x14ac:dyDescent="0.3">
      <c r="C66">
        <v>11</v>
      </c>
      <c r="D66">
        <v>30</v>
      </c>
      <c r="E66">
        <v>7</v>
      </c>
      <c r="F66" t="s">
        <v>5</v>
      </c>
      <c r="G66">
        <f t="shared" si="0"/>
        <v>2.5844155844155843</v>
      </c>
      <c r="N66">
        <v>11</v>
      </c>
      <c r="O66">
        <v>30</v>
      </c>
      <c r="P66">
        <v>7</v>
      </c>
      <c r="Q66" t="s">
        <v>5</v>
      </c>
      <c r="R66">
        <f t="shared" si="1"/>
        <v>2.5844155844155843</v>
      </c>
      <c r="Y66">
        <v>11</v>
      </c>
      <c r="Z66">
        <v>30</v>
      </c>
      <c r="AA66">
        <v>7</v>
      </c>
      <c r="AB66" t="s">
        <v>5</v>
      </c>
      <c r="AC66">
        <f t="shared" si="2"/>
        <v>2.5844155844155843</v>
      </c>
      <c r="AJ66">
        <v>11</v>
      </c>
      <c r="AK66">
        <v>30</v>
      </c>
      <c r="AL66">
        <v>7</v>
      </c>
      <c r="AM66" t="s">
        <v>5</v>
      </c>
      <c r="AN66">
        <f t="shared" si="3"/>
        <v>2.5844155844155843</v>
      </c>
    </row>
    <row r="67" spans="3:41" x14ac:dyDescent="0.3">
      <c r="C67">
        <v>11</v>
      </c>
      <c r="D67">
        <v>30</v>
      </c>
      <c r="E67">
        <v>7</v>
      </c>
      <c r="F67" t="s">
        <v>6</v>
      </c>
      <c r="G67">
        <f t="shared" ref="G67:G106" si="4">((D67/C67)-1/E67)</f>
        <v>2.5844155844155843</v>
      </c>
      <c r="H67">
        <f>GEOMEAN(G65:G66)</f>
        <v>2.5844155844155843</v>
      </c>
      <c r="N67">
        <v>11</v>
      </c>
      <c r="O67">
        <v>30</v>
      </c>
      <c r="P67">
        <v>7</v>
      </c>
      <c r="Q67" t="s">
        <v>5</v>
      </c>
      <c r="R67">
        <f t="shared" ref="R67:R106" si="5">((O67/N67)-1/P67)</f>
        <v>2.5844155844155843</v>
      </c>
      <c r="Y67">
        <v>11</v>
      </c>
      <c r="Z67">
        <v>30</v>
      </c>
      <c r="AA67">
        <v>7</v>
      </c>
      <c r="AB67" t="s">
        <v>5</v>
      </c>
      <c r="AC67">
        <f t="shared" ref="AC67:AC106" si="6">((Z67/Y67)-1/AA67)</f>
        <v>2.5844155844155843</v>
      </c>
      <c r="AJ67">
        <v>11</v>
      </c>
      <c r="AK67">
        <v>30</v>
      </c>
      <c r="AL67">
        <v>7</v>
      </c>
      <c r="AM67" t="s">
        <v>5</v>
      </c>
      <c r="AN67">
        <f t="shared" ref="AN67:AN106" si="7">((AK67/AJ67)-1/AL67)</f>
        <v>2.5844155844155843</v>
      </c>
    </row>
    <row r="68" spans="3:41" x14ac:dyDescent="0.3">
      <c r="C68">
        <v>11</v>
      </c>
      <c r="D68">
        <v>30</v>
      </c>
      <c r="E68">
        <v>7</v>
      </c>
      <c r="F68" t="s">
        <v>6</v>
      </c>
      <c r="G68">
        <f t="shared" si="4"/>
        <v>2.5844155844155843</v>
      </c>
      <c r="N68">
        <v>11</v>
      </c>
      <c r="O68">
        <v>30</v>
      </c>
      <c r="P68">
        <v>7</v>
      </c>
      <c r="Q68" t="s">
        <v>5</v>
      </c>
      <c r="R68">
        <f t="shared" si="5"/>
        <v>2.5844155844155843</v>
      </c>
      <c r="Y68">
        <v>11</v>
      </c>
      <c r="Z68">
        <v>30</v>
      </c>
      <c r="AA68">
        <v>7</v>
      </c>
      <c r="AB68" t="s">
        <v>5</v>
      </c>
      <c r="AC68">
        <f t="shared" si="6"/>
        <v>2.5844155844155843</v>
      </c>
      <c r="AJ68">
        <v>11</v>
      </c>
      <c r="AK68">
        <v>30</v>
      </c>
      <c r="AL68">
        <v>7</v>
      </c>
      <c r="AM68" t="s">
        <v>5</v>
      </c>
      <c r="AN68">
        <f t="shared" si="7"/>
        <v>2.5844155844155843</v>
      </c>
    </row>
    <row r="69" spans="3:41" x14ac:dyDescent="0.3">
      <c r="C69">
        <v>11</v>
      </c>
      <c r="D69">
        <v>30</v>
      </c>
      <c r="E69">
        <v>7</v>
      </c>
      <c r="F69" t="s">
        <v>5</v>
      </c>
      <c r="G69">
        <f t="shared" si="4"/>
        <v>2.5844155844155843</v>
      </c>
      <c r="N69">
        <v>11</v>
      </c>
      <c r="O69">
        <v>30</v>
      </c>
      <c r="P69">
        <v>7</v>
      </c>
      <c r="Q69" t="s">
        <v>5</v>
      </c>
      <c r="R69">
        <f t="shared" si="5"/>
        <v>2.5844155844155843</v>
      </c>
      <c r="Y69">
        <v>11</v>
      </c>
      <c r="Z69">
        <v>30</v>
      </c>
      <c r="AA69">
        <v>7</v>
      </c>
      <c r="AB69" t="s">
        <v>5</v>
      </c>
      <c r="AC69">
        <f t="shared" si="6"/>
        <v>2.5844155844155843</v>
      </c>
      <c r="AJ69">
        <v>11</v>
      </c>
      <c r="AK69">
        <v>30</v>
      </c>
      <c r="AL69">
        <v>7</v>
      </c>
      <c r="AM69" t="s">
        <v>5</v>
      </c>
      <c r="AN69">
        <f t="shared" si="7"/>
        <v>2.5844155844155843</v>
      </c>
    </row>
    <row r="70" spans="3:41" x14ac:dyDescent="0.3">
      <c r="C70">
        <v>11</v>
      </c>
      <c r="D70">
        <v>30</v>
      </c>
      <c r="E70">
        <v>7</v>
      </c>
      <c r="F70" t="s">
        <v>5</v>
      </c>
      <c r="G70">
        <f t="shared" si="4"/>
        <v>2.5844155844155843</v>
      </c>
      <c r="N70">
        <v>11</v>
      </c>
      <c r="O70">
        <v>30</v>
      </c>
      <c r="P70">
        <v>7</v>
      </c>
      <c r="Q70" t="s">
        <v>5</v>
      </c>
      <c r="R70">
        <f t="shared" si="5"/>
        <v>2.5844155844155843</v>
      </c>
      <c r="Y70">
        <v>11</v>
      </c>
      <c r="Z70">
        <v>30</v>
      </c>
      <c r="AA70">
        <v>7</v>
      </c>
      <c r="AB70" t="s">
        <v>5</v>
      </c>
      <c r="AC70">
        <f t="shared" si="6"/>
        <v>2.5844155844155843</v>
      </c>
      <c r="AJ70">
        <v>11</v>
      </c>
      <c r="AK70">
        <v>30</v>
      </c>
      <c r="AL70">
        <v>7</v>
      </c>
      <c r="AM70" t="s">
        <v>5</v>
      </c>
      <c r="AN70">
        <f t="shared" si="7"/>
        <v>2.5844155844155843</v>
      </c>
    </row>
    <row r="71" spans="3:41" x14ac:dyDescent="0.3">
      <c r="C71">
        <v>11</v>
      </c>
      <c r="D71">
        <v>30</v>
      </c>
      <c r="E71">
        <v>7</v>
      </c>
      <c r="F71" t="s">
        <v>5</v>
      </c>
      <c r="G71">
        <f t="shared" si="4"/>
        <v>2.5844155844155843</v>
      </c>
      <c r="N71">
        <v>11</v>
      </c>
      <c r="O71">
        <v>30</v>
      </c>
      <c r="P71">
        <v>7</v>
      </c>
      <c r="Q71" t="s">
        <v>5</v>
      </c>
      <c r="R71">
        <f t="shared" si="5"/>
        <v>2.5844155844155843</v>
      </c>
      <c r="Y71">
        <v>11</v>
      </c>
      <c r="Z71">
        <v>30</v>
      </c>
      <c r="AA71">
        <v>7</v>
      </c>
      <c r="AB71" t="s">
        <v>5</v>
      </c>
      <c r="AC71">
        <f t="shared" si="6"/>
        <v>2.5844155844155843</v>
      </c>
      <c r="AJ71">
        <v>11</v>
      </c>
      <c r="AK71">
        <v>30</v>
      </c>
      <c r="AL71">
        <v>7</v>
      </c>
      <c r="AM71" t="s">
        <v>5</v>
      </c>
      <c r="AN71">
        <f t="shared" si="7"/>
        <v>2.5844155844155843</v>
      </c>
    </row>
    <row r="72" spans="3:41" x14ac:dyDescent="0.3">
      <c r="C72">
        <v>11</v>
      </c>
      <c r="D72">
        <v>30</v>
      </c>
      <c r="E72">
        <v>7</v>
      </c>
      <c r="F72" t="s">
        <v>5</v>
      </c>
      <c r="G72">
        <f t="shared" si="4"/>
        <v>2.5844155844155843</v>
      </c>
      <c r="N72">
        <v>11</v>
      </c>
      <c r="O72">
        <v>30</v>
      </c>
      <c r="P72">
        <v>7</v>
      </c>
      <c r="Q72" t="s">
        <v>5</v>
      </c>
      <c r="R72">
        <f t="shared" si="5"/>
        <v>2.5844155844155843</v>
      </c>
      <c r="Y72">
        <v>11</v>
      </c>
      <c r="Z72">
        <v>30</v>
      </c>
      <c r="AA72">
        <v>7</v>
      </c>
      <c r="AB72" t="s">
        <v>5</v>
      </c>
      <c r="AC72">
        <f t="shared" si="6"/>
        <v>2.5844155844155843</v>
      </c>
      <c r="AJ72">
        <v>11</v>
      </c>
      <c r="AK72">
        <v>30</v>
      </c>
      <c r="AL72">
        <v>7</v>
      </c>
      <c r="AM72" t="s">
        <v>5</v>
      </c>
      <c r="AN72">
        <f t="shared" si="7"/>
        <v>2.5844155844155843</v>
      </c>
    </row>
    <row r="73" spans="3:41" x14ac:dyDescent="0.3">
      <c r="C73">
        <v>11</v>
      </c>
      <c r="D73">
        <v>30</v>
      </c>
      <c r="E73">
        <v>7</v>
      </c>
      <c r="F73" t="s">
        <v>6</v>
      </c>
      <c r="G73">
        <f t="shared" si="4"/>
        <v>2.5844155844155843</v>
      </c>
      <c r="H73">
        <f>GEOMEAN(G72:G73)</f>
        <v>2.5844155844155843</v>
      </c>
      <c r="N73">
        <v>11</v>
      </c>
      <c r="O73">
        <v>30</v>
      </c>
      <c r="P73">
        <v>7</v>
      </c>
      <c r="Q73" t="s">
        <v>6</v>
      </c>
      <c r="R73">
        <f t="shared" si="5"/>
        <v>2.5844155844155843</v>
      </c>
      <c r="S73">
        <f>GEOMEAN(R72:R73)</f>
        <v>2.5844155844155843</v>
      </c>
      <c r="Y73">
        <v>11</v>
      </c>
      <c r="Z73">
        <v>30</v>
      </c>
      <c r="AA73">
        <v>7</v>
      </c>
      <c r="AB73" t="s">
        <v>5</v>
      </c>
      <c r="AC73">
        <f t="shared" si="6"/>
        <v>2.5844155844155843</v>
      </c>
      <c r="AJ73">
        <v>11</v>
      </c>
      <c r="AK73">
        <v>30</v>
      </c>
      <c r="AL73">
        <v>7</v>
      </c>
      <c r="AM73" t="s">
        <v>5</v>
      </c>
      <c r="AN73">
        <f t="shared" si="7"/>
        <v>2.5844155844155843</v>
      </c>
    </row>
    <row r="74" spans="3:41" x14ac:dyDescent="0.3">
      <c r="C74">
        <v>11</v>
      </c>
      <c r="D74">
        <v>30</v>
      </c>
      <c r="E74">
        <v>7</v>
      </c>
      <c r="F74" t="s">
        <v>5</v>
      </c>
      <c r="G74">
        <f t="shared" si="4"/>
        <v>2.5844155844155843</v>
      </c>
      <c r="N74">
        <v>11</v>
      </c>
      <c r="O74">
        <v>30</v>
      </c>
      <c r="P74">
        <v>7</v>
      </c>
      <c r="Q74" t="s">
        <v>5</v>
      </c>
      <c r="R74">
        <f t="shared" si="5"/>
        <v>2.5844155844155843</v>
      </c>
      <c r="Y74">
        <v>11</v>
      </c>
      <c r="Z74">
        <v>30</v>
      </c>
      <c r="AA74">
        <v>7</v>
      </c>
      <c r="AB74" t="s">
        <v>5</v>
      </c>
      <c r="AC74">
        <f t="shared" si="6"/>
        <v>2.5844155844155843</v>
      </c>
      <c r="AJ74">
        <v>11</v>
      </c>
      <c r="AK74">
        <v>30</v>
      </c>
      <c r="AL74">
        <v>7</v>
      </c>
      <c r="AM74" t="s">
        <v>6</v>
      </c>
      <c r="AN74">
        <f t="shared" si="7"/>
        <v>2.5844155844155843</v>
      </c>
      <c r="AO74">
        <f>GEOMEAN(AN73:AN74)</f>
        <v>2.5844155844155843</v>
      </c>
    </row>
    <row r="75" spans="3:41" x14ac:dyDescent="0.3">
      <c r="C75">
        <v>11</v>
      </c>
      <c r="D75">
        <v>30</v>
      </c>
      <c r="E75">
        <v>7</v>
      </c>
      <c r="F75" t="s">
        <v>6</v>
      </c>
      <c r="G75">
        <f t="shared" si="4"/>
        <v>2.5844155844155843</v>
      </c>
      <c r="H75">
        <f>GEOMEAN(G74:G75)</f>
        <v>2.5844155844155843</v>
      </c>
      <c r="N75">
        <v>11</v>
      </c>
      <c r="O75">
        <v>30</v>
      </c>
      <c r="P75">
        <v>7</v>
      </c>
      <c r="Q75" t="s">
        <v>6</v>
      </c>
      <c r="R75">
        <f t="shared" si="5"/>
        <v>2.5844155844155843</v>
      </c>
      <c r="S75">
        <f>GEOMEAN(R74:R75)</f>
        <v>2.5844155844155843</v>
      </c>
      <c r="Y75">
        <v>11</v>
      </c>
      <c r="Z75">
        <v>30</v>
      </c>
      <c r="AA75">
        <v>7</v>
      </c>
      <c r="AB75" t="s">
        <v>5</v>
      </c>
      <c r="AC75">
        <f t="shared" si="6"/>
        <v>2.5844155844155843</v>
      </c>
      <c r="AJ75">
        <v>11</v>
      </c>
      <c r="AK75">
        <v>30</v>
      </c>
      <c r="AL75">
        <v>7</v>
      </c>
      <c r="AM75" t="s">
        <v>6</v>
      </c>
      <c r="AN75">
        <f t="shared" si="7"/>
        <v>2.5844155844155843</v>
      </c>
    </row>
    <row r="76" spans="3:41" x14ac:dyDescent="0.3">
      <c r="C76">
        <v>11</v>
      </c>
      <c r="D76">
        <v>30</v>
      </c>
      <c r="E76">
        <v>7</v>
      </c>
      <c r="F76" t="s">
        <v>5</v>
      </c>
      <c r="G76">
        <f t="shared" si="4"/>
        <v>2.5844155844155843</v>
      </c>
      <c r="N76">
        <v>11</v>
      </c>
      <c r="O76">
        <v>30</v>
      </c>
      <c r="P76">
        <v>7</v>
      </c>
      <c r="Q76" t="s">
        <v>5</v>
      </c>
      <c r="R76">
        <f t="shared" si="5"/>
        <v>2.5844155844155843</v>
      </c>
      <c r="Y76">
        <v>11</v>
      </c>
      <c r="Z76">
        <v>30</v>
      </c>
      <c r="AA76">
        <v>7</v>
      </c>
      <c r="AB76" t="s">
        <v>5</v>
      </c>
      <c r="AC76">
        <f t="shared" si="6"/>
        <v>2.5844155844155843</v>
      </c>
      <c r="AJ76">
        <v>11</v>
      </c>
      <c r="AK76">
        <v>30</v>
      </c>
      <c r="AL76">
        <v>7</v>
      </c>
      <c r="AM76" t="s">
        <v>5</v>
      </c>
      <c r="AN76">
        <f t="shared" si="7"/>
        <v>2.5844155844155843</v>
      </c>
    </row>
    <row r="77" spans="3:41" x14ac:dyDescent="0.3">
      <c r="C77">
        <v>15</v>
      </c>
      <c r="D77">
        <v>35</v>
      </c>
      <c r="E77">
        <v>13</v>
      </c>
      <c r="F77" t="s">
        <v>6</v>
      </c>
      <c r="G77">
        <f t="shared" si="4"/>
        <v>2.2564102564102564</v>
      </c>
      <c r="H77">
        <f>GEOMEAN(G76:G77)</f>
        <v>2.4148502710316908</v>
      </c>
      <c r="N77">
        <v>15</v>
      </c>
      <c r="O77">
        <v>35</v>
      </c>
      <c r="P77">
        <v>13</v>
      </c>
      <c r="Q77" t="s">
        <v>6</v>
      </c>
      <c r="R77">
        <f t="shared" si="5"/>
        <v>2.2564102564102564</v>
      </c>
      <c r="S77">
        <f>GEOMEAN(R76:R77)</f>
        <v>2.4148502710316908</v>
      </c>
      <c r="Y77">
        <v>15</v>
      </c>
      <c r="Z77">
        <v>35</v>
      </c>
      <c r="AA77">
        <v>13</v>
      </c>
      <c r="AB77" t="s">
        <v>5</v>
      </c>
      <c r="AC77">
        <f t="shared" si="6"/>
        <v>2.2564102564102564</v>
      </c>
      <c r="AJ77">
        <v>15</v>
      </c>
      <c r="AK77">
        <v>35</v>
      </c>
      <c r="AL77">
        <v>13</v>
      </c>
      <c r="AM77" t="s">
        <v>5</v>
      </c>
      <c r="AN77">
        <f t="shared" si="7"/>
        <v>2.2564102564102564</v>
      </c>
    </row>
    <row r="78" spans="3:41" x14ac:dyDescent="0.3">
      <c r="C78">
        <v>15</v>
      </c>
      <c r="D78">
        <v>35</v>
      </c>
      <c r="E78">
        <v>13</v>
      </c>
      <c r="F78" t="s">
        <v>5</v>
      </c>
      <c r="G78">
        <f t="shared" si="4"/>
        <v>2.2564102564102564</v>
      </c>
      <c r="N78">
        <v>15</v>
      </c>
      <c r="O78">
        <v>35</v>
      </c>
      <c r="P78">
        <v>13</v>
      </c>
      <c r="Q78" t="s">
        <v>5</v>
      </c>
      <c r="R78">
        <f t="shared" si="5"/>
        <v>2.2564102564102564</v>
      </c>
      <c r="Y78">
        <v>15</v>
      </c>
      <c r="Z78">
        <v>35</v>
      </c>
      <c r="AA78">
        <v>13</v>
      </c>
      <c r="AB78" t="s">
        <v>5</v>
      </c>
      <c r="AC78">
        <f t="shared" si="6"/>
        <v>2.2564102564102564</v>
      </c>
      <c r="AJ78">
        <v>15</v>
      </c>
      <c r="AK78">
        <v>35</v>
      </c>
      <c r="AL78">
        <v>13</v>
      </c>
      <c r="AM78" t="s">
        <v>5</v>
      </c>
      <c r="AN78">
        <f t="shared" si="7"/>
        <v>2.2564102564102564</v>
      </c>
    </row>
    <row r="79" spans="3:41" x14ac:dyDescent="0.3">
      <c r="C79">
        <v>15</v>
      </c>
      <c r="D79">
        <v>35</v>
      </c>
      <c r="E79">
        <v>13</v>
      </c>
      <c r="F79" t="s">
        <v>5</v>
      </c>
      <c r="G79">
        <f t="shared" si="4"/>
        <v>2.2564102564102564</v>
      </c>
      <c r="N79">
        <v>15</v>
      </c>
      <c r="O79">
        <v>35</v>
      </c>
      <c r="P79">
        <v>13</v>
      </c>
      <c r="Q79" t="s">
        <v>5</v>
      </c>
      <c r="R79">
        <f t="shared" si="5"/>
        <v>2.2564102564102564</v>
      </c>
      <c r="Y79">
        <v>15</v>
      </c>
      <c r="Z79">
        <v>35</v>
      </c>
      <c r="AA79">
        <v>13</v>
      </c>
      <c r="AB79" t="s">
        <v>5</v>
      </c>
      <c r="AC79">
        <f t="shared" si="6"/>
        <v>2.2564102564102564</v>
      </c>
      <c r="AJ79">
        <v>15</v>
      </c>
      <c r="AK79">
        <v>35</v>
      </c>
      <c r="AL79">
        <v>13</v>
      </c>
      <c r="AM79" t="s">
        <v>5</v>
      </c>
      <c r="AN79">
        <f t="shared" si="7"/>
        <v>2.2564102564102564</v>
      </c>
    </row>
    <row r="80" spans="3:41" x14ac:dyDescent="0.3">
      <c r="C80">
        <v>15</v>
      </c>
      <c r="D80">
        <v>35</v>
      </c>
      <c r="E80">
        <v>13</v>
      </c>
      <c r="F80" t="s">
        <v>6</v>
      </c>
      <c r="G80">
        <f t="shared" si="4"/>
        <v>2.2564102564102564</v>
      </c>
      <c r="H80">
        <f>GEOMEAN(G79:G80)</f>
        <v>2.2564102564102564</v>
      </c>
      <c r="N80">
        <v>15</v>
      </c>
      <c r="O80">
        <v>35</v>
      </c>
      <c r="P80">
        <v>13</v>
      </c>
      <c r="Q80" t="s">
        <v>5</v>
      </c>
      <c r="R80">
        <f t="shared" si="5"/>
        <v>2.2564102564102564</v>
      </c>
      <c r="Y80">
        <v>15</v>
      </c>
      <c r="Z80">
        <v>35</v>
      </c>
      <c r="AA80">
        <v>13</v>
      </c>
      <c r="AB80" t="s">
        <v>5</v>
      </c>
      <c r="AC80">
        <f t="shared" si="6"/>
        <v>2.2564102564102564</v>
      </c>
      <c r="AJ80">
        <v>15</v>
      </c>
      <c r="AK80">
        <v>35</v>
      </c>
      <c r="AL80">
        <v>13</v>
      </c>
      <c r="AM80" t="s">
        <v>5</v>
      </c>
      <c r="AN80">
        <f t="shared" si="7"/>
        <v>2.2564102564102564</v>
      </c>
    </row>
    <row r="81" spans="3:40" x14ac:dyDescent="0.3">
      <c r="C81">
        <v>15</v>
      </c>
      <c r="D81">
        <v>35</v>
      </c>
      <c r="E81">
        <v>13</v>
      </c>
      <c r="F81" t="s">
        <v>5</v>
      </c>
      <c r="G81">
        <f t="shared" si="4"/>
        <v>2.2564102564102564</v>
      </c>
      <c r="N81">
        <v>15</v>
      </c>
      <c r="O81">
        <v>35</v>
      </c>
      <c r="P81">
        <v>13</v>
      </c>
      <c r="Q81" t="s">
        <v>5</v>
      </c>
      <c r="R81">
        <f t="shared" si="5"/>
        <v>2.2564102564102564</v>
      </c>
      <c r="Y81">
        <v>15</v>
      </c>
      <c r="Z81">
        <v>35</v>
      </c>
      <c r="AA81">
        <v>13</v>
      </c>
      <c r="AB81" t="s">
        <v>5</v>
      </c>
      <c r="AC81">
        <f t="shared" si="6"/>
        <v>2.2564102564102564</v>
      </c>
      <c r="AJ81">
        <v>15</v>
      </c>
      <c r="AK81">
        <v>35</v>
      </c>
      <c r="AL81">
        <v>13</v>
      </c>
      <c r="AM81" t="s">
        <v>5</v>
      </c>
      <c r="AN81">
        <f t="shared" si="7"/>
        <v>2.2564102564102564</v>
      </c>
    </row>
    <row r="82" spans="3:40" x14ac:dyDescent="0.3">
      <c r="C82">
        <v>15</v>
      </c>
      <c r="D82">
        <v>35</v>
      </c>
      <c r="E82">
        <v>13</v>
      </c>
      <c r="F82" t="s">
        <v>5</v>
      </c>
      <c r="G82">
        <f t="shared" si="4"/>
        <v>2.2564102564102564</v>
      </c>
      <c r="N82">
        <v>15</v>
      </c>
      <c r="O82">
        <v>35</v>
      </c>
      <c r="P82">
        <v>13</v>
      </c>
      <c r="Q82" t="s">
        <v>5</v>
      </c>
      <c r="R82">
        <f t="shared" si="5"/>
        <v>2.2564102564102564</v>
      </c>
      <c r="Y82">
        <v>15</v>
      </c>
      <c r="Z82">
        <v>35</v>
      </c>
      <c r="AA82">
        <v>13</v>
      </c>
      <c r="AB82" t="s">
        <v>5</v>
      </c>
      <c r="AC82">
        <f t="shared" si="6"/>
        <v>2.2564102564102564</v>
      </c>
      <c r="AJ82">
        <v>15</v>
      </c>
      <c r="AK82">
        <v>35</v>
      </c>
      <c r="AL82">
        <v>13</v>
      </c>
      <c r="AM82" t="s">
        <v>5</v>
      </c>
      <c r="AN82">
        <f t="shared" si="7"/>
        <v>2.2564102564102564</v>
      </c>
    </row>
    <row r="83" spans="3:40" x14ac:dyDescent="0.3">
      <c r="C83">
        <v>15</v>
      </c>
      <c r="D83">
        <v>35</v>
      </c>
      <c r="E83">
        <v>13</v>
      </c>
      <c r="F83" t="s">
        <v>6</v>
      </c>
      <c r="G83">
        <f t="shared" si="4"/>
        <v>2.2564102564102564</v>
      </c>
      <c r="H83">
        <f>GEOMEAN(G82:G83)</f>
        <v>2.2564102564102564</v>
      </c>
      <c r="N83">
        <v>15</v>
      </c>
      <c r="O83">
        <v>35</v>
      </c>
      <c r="P83">
        <v>13</v>
      </c>
      <c r="Q83" t="s">
        <v>5</v>
      </c>
      <c r="R83">
        <f t="shared" si="5"/>
        <v>2.2564102564102564</v>
      </c>
      <c r="Y83">
        <v>15</v>
      </c>
      <c r="Z83">
        <v>35</v>
      </c>
      <c r="AA83">
        <v>13</v>
      </c>
      <c r="AB83" t="s">
        <v>5</v>
      </c>
      <c r="AC83">
        <f t="shared" si="6"/>
        <v>2.2564102564102564</v>
      </c>
      <c r="AJ83">
        <v>15</v>
      </c>
      <c r="AK83">
        <v>35</v>
      </c>
      <c r="AL83">
        <v>13</v>
      </c>
      <c r="AM83" t="s">
        <v>5</v>
      </c>
      <c r="AN83">
        <f t="shared" si="7"/>
        <v>2.2564102564102564</v>
      </c>
    </row>
    <row r="84" spans="3:40" x14ac:dyDescent="0.3">
      <c r="C84">
        <v>15</v>
      </c>
      <c r="D84">
        <v>35</v>
      </c>
      <c r="E84">
        <v>13</v>
      </c>
      <c r="F84" t="s">
        <v>5</v>
      </c>
      <c r="G84">
        <f t="shared" si="4"/>
        <v>2.2564102564102564</v>
      </c>
      <c r="N84">
        <v>15</v>
      </c>
      <c r="O84">
        <v>35</v>
      </c>
      <c r="P84">
        <v>13</v>
      </c>
      <c r="Q84" t="s">
        <v>5</v>
      </c>
      <c r="R84">
        <f t="shared" si="5"/>
        <v>2.2564102564102564</v>
      </c>
      <c r="Y84">
        <v>15</v>
      </c>
      <c r="Z84">
        <v>35</v>
      </c>
      <c r="AA84">
        <v>13</v>
      </c>
      <c r="AB84" t="s">
        <v>5</v>
      </c>
      <c r="AC84">
        <f t="shared" si="6"/>
        <v>2.2564102564102564</v>
      </c>
      <c r="AJ84">
        <v>15</v>
      </c>
      <c r="AK84">
        <v>35</v>
      </c>
      <c r="AL84">
        <v>13</v>
      </c>
      <c r="AM84" t="s">
        <v>5</v>
      </c>
      <c r="AN84">
        <f t="shared" si="7"/>
        <v>2.2564102564102564</v>
      </c>
    </row>
    <row r="85" spans="3:40" x14ac:dyDescent="0.3">
      <c r="C85">
        <v>15</v>
      </c>
      <c r="D85">
        <v>35</v>
      </c>
      <c r="E85">
        <v>13</v>
      </c>
      <c r="F85" t="s">
        <v>5</v>
      </c>
      <c r="G85">
        <f t="shared" si="4"/>
        <v>2.2564102564102564</v>
      </c>
      <c r="N85">
        <v>15</v>
      </c>
      <c r="O85">
        <v>35</v>
      </c>
      <c r="P85">
        <v>13</v>
      </c>
      <c r="Q85" t="s">
        <v>5</v>
      </c>
      <c r="R85">
        <f t="shared" si="5"/>
        <v>2.2564102564102564</v>
      </c>
      <c r="Y85">
        <v>15</v>
      </c>
      <c r="Z85">
        <v>35</v>
      </c>
      <c r="AA85">
        <v>13</v>
      </c>
      <c r="AB85" t="s">
        <v>5</v>
      </c>
      <c r="AC85">
        <f t="shared" si="6"/>
        <v>2.2564102564102564</v>
      </c>
      <c r="AJ85">
        <v>15</v>
      </c>
      <c r="AK85">
        <v>35</v>
      </c>
      <c r="AL85">
        <v>13</v>
      </c>
      <c r="AM85" t="s">
        <v>5</v>
      </c>
      <c r="AN85">
        <f t="shared" si="7"/>
        <v>2.2564102564102564</v>
      </c>
    </row>
    <row r="86" spans="3:40" x14ac:dyDescent="0.3">
      <c r="C86">
        <v>15</v>
      </c>
      <c r="D86">
        <v>35</v>
      </c>
      <c r="E86">
        <v>13</v>
      </c>
      <c r="F86" t="s">
        <v>5</v>
      </c>
      <c r="G86">
        <f t="shared" si="4"/>
        <v>2.2564102564102564</v>
      </c>
      <c r="N86">
        <v>15</v>
      </c>
      <c r="O86">
        <v>35</v>
      </c>
      <c r="P86">
        <v>13</v>
      </c>
      <c r="Q86" t="s">
        <v>6</v>
      </c>
      <c r="R86">
        <f t="shared" si="5"/>
        <v>2.2564102564102564</v>
      </c>
      <c r="S86">
        <f>GEOMEAN(R85:R86)</f>
        <v>2.2564102564102564</v>
      </c>
      <c r="Y86">
        <v>15</v>
      </c>
      <c r="Z86">
        <v>35</v>
      </c>
      <c r="AA86">
        <v>13</v>
      </c>
      <c r="AB86" t="s">
        <v>5</v>
      </c>
      <c r="AC86">
        <f t="shared" si="6"/>
        <v>2.2564102564102564</v>
      </c>
      <c r="AJ86">
        <v>15</v>
      </c>
      <c r="AK86">
        <v>35</v>
      </c>
      <c r="AL86">
        <v>13</v>
      </c>
      <c r="AM86" t="s">
        <v>5</v>
      </c>
      <c r="AN86">
        <f t="shared" si="7"/>
        <v>2.2564102564102564</v>
      </c>
    </row>
    <row r="87" spans="3:40" x14ac:dyDescent="0.3">
      <c r="C87">
        <v>15</v>
      </c>
      <c r="D87">
        <v>35</v>
      </c>
      <c r="E87">
        <v>13</v>
      </c>
      <c r="F87" t="s">
        <v>6</v>
      </c>
      <c r="G87">
        <f t="shared" si="4"/>
        <v>2.2564102564102564</v>
      </c>
      <c r="H87">
        <f>GEOMEAN(G86:G87)</f>
        <v>2.2564102564102564</v>
      </c>
      <c r="N87">
        <v>15</v>
      </c>
      <c r="O87">
        <v>35</v>
      </c>
      <c r="P87">
        <v>13</v>
      </c>
      <c r="Q87" t="s">
        <v>5</v>
      </c>
      <c r="R87">
        <f t="shared" si="5"/>
        <v>2.2564102564102564</v>
      </c>
      <c r="Y87">
        <v>15</v>
      </c>
      <c r="Z87">
        <v>35</v>
      </c>
      <c r="AA87">
        <v>13</v>
      </c>
      <c r="AB87" t="s">
        <v>5</v>
      </c>
      <c r="AC87">
        <f t="shared" si="6"/>
        <v>2.2564102564102564</v>
      </c>
      <c r="AJ87">
        <v>15</v>
      </c>
      <c r="AK87">
        <v>35</v>
      </c>
      <c r="AL87">
        <v>13</v>
      </c>
      <c r="AM87" t="s">
        <v>5</v>
      </c>
      <c r="AN87">
        <f t="shared" si="7"/>
        <v>2.2564102564102564</v>
      </c>
    </row>
    <row r="88" spans="3:40" x14ac:dyDescent="0.3">
      <c r="C88">
        <v>15</v>
      </c>
      <c r="D88">
        <v>35</v>
      </c>
      <c r="E88">
        <v>13</v>
      </c>
      <c r="F88" t="s">
        <v>5</v>
      </c>
      <c r="G88">
        <f t="shared" si="4"/>
        <v>2.2564102564102564</v>
      </c>
      <c r="N88">
        <v>15</v>
      </c>
      <c r="O88">
        <v>35</v>
      </c>
      <c r="P88">
        <v>13</v>
      </c>
      <c r="Q88" t="s">
        <v>6</v>
      </c>
      <c r="R88">
        <f t="shared" si="5"/>
        <v>2.2564102564102564</v>
      </c>
      <c r="S88">
        <f>GEOMEAN(R87:R88)</f>
        <v>2.2564102564102564</v>
      </c>
      <c r="Y88">
        <v>15</v>
      </c>
      <c r="Z88">
        <v>35</v>
      </c>
      <c r="AA88">
        <v>13</v>
      </c>
      <c r="AB88" t="s">
        <v>5</v>
      </c>
      <c r="AC88">
        <f t="shared" si="6"/>
        <v>2.2564102564102564</v>
      </c>
      <c r="AJ88">
        <v>15</v>
      </c>
      <c r="AK88">
        <v>35</v>
      </c>
      <c r="AL88">
        <v>13</v>
      </c>
      <c r="AM88" t="s">
        <v>5</v>
      </c>
      <c r="AN88">
        <f t="shared" si="7"/>
        <v>2.2564102564102564</v>
      </c>
    </row>
    <row r="89" spans="3:40" x14ac:dyDescent="0.3">
      <c r="C89">
        <v>15</v>
      </c>
      <c r="D89">
        <v>35</v>
      </c>
      <c r="E89">
        <v>13</v>
      </c>
      <c r="F89" t="s">
        <v>5</v>
      </c>
      <c r="G89">
        <f t="shared" si="4"/>
        <v>2.2564102564102564</v>
      </c>
      <c r="N89">
        <v>15</v>
      </c>
      <c r="O89">
        <v>35</v>
      </c>
      <c r="P89">
        <v>13</v>
      </c>
      <c r="Q89" t="s">
        <v>5</v>
      </c>
      <c r="R89">
        <f t="shared" si="5"/>
        <v>2.2564102564102564</v>
      </c>
      <c r="Y89">
        <v>15</v>
      </c>
      <c r="Z89">
        <v>35</v>
      </c>
      <c r="AA89">
        <v>13</v>
      </c>
      <c r="AB89" t="s">
        <v>5</v>
      </c>
      <c r="AC89">
        <f t="shared" si="6"/>
        <v>2.2564102564102564</v>
      </c>
      <c r="AJ89">
        <v>15</v>
      </c>
      <c r="AK89">
        <v>35</v>
      </c>
      <c r="AL89">
        <v>13</v>
      </c>
      <c r="AM89" t="s">
        <v>5</v>
      </c>
      <c r="AN89">
        <f t="shared" si="7"/>
        <v>2.2564102564102564</v>
      </c>
    </row>
    <row r="90" spans="3:40" x14ac:dyDescent="0.3">
      <c r="C90">
        <v>15</v>
      </c>
      <c r="D90">
        <v>35</v>
      </c>
      <c r="E90">
        <v>13</v>
      </c>
      <c r="F90" t="s">
        <v>5</v>
      </c>
      <c r="G90">
        <f t="shared" si="4"/>
        <v>2.2564102564102564</v>
      </c>
      <c r="N90">
        <v>15</v>
      </c>
      <c r="O90">
        <v>35</v>
      </c>
      <c r="P90">
        <v>13</v>
      </c>
      <c r="Q90" t="s">
        <v>6</v>
      </c>
      <c r="R90">
        <f t="shared" si="5"/>
        <v>2.2564102564102564</v>
      </c>
      <c r="S90">
        <f>GEOMEAN(R89:R90)</f>
        <v>2.2564102564102564</v>
      </c>
      <c r="Y90">
        <v>15</v>
      </c>
      <c r="Z90">
        <v>35</v>
      </c>
      <c r="AA90">
        <v>13</v>
      </c>
      <c r="AB90" t="s">
        <v>5</v>
      </c>
      <c r="AC90">
        <f t="shared" si="6"/>
        <v>2.2564102564102564</v>
      </c>
      <c r="AJ90">
        <v>15</v>
      </c>
      <c r="AK90">
        <v>35</v>
      </c>
      <c r="AL90">
        <v>13</v>
      </c>
      <c r="AM90" t="s">
        <v>5</v>
      </c>
      <c r="AN90">
        <f t="shared" si="7"/>
        <v>2.2564102564102564</v>
      </c>
    </row>
    <row r="91" spans="3:40" x14ac:dyDescent="0.3">
      <c r="C91">
        <v>15</v>
      </c>
      <c r="D91">
        <v>35</v>
      </c>
      <c r="E91">
        <v>13</v>
      </c>
      <c r="F91" t="s">
        <v>5</v>
      </c>
      <c r="G91">
        <f t="shared" si="4"/>
        <v>2.2564102564102564</v>
      </c>
      <c r="N91">
        <v>15</v>
      </c>
      <c r="O91">
        <v>35</v>
      </c>
      <c r="P91">
        <v>13</v>
      </c>
      <c r="Q91" t="s">
        <v>6</v>
      </c>
      <c r="R91">
        <f t="shared" si="5"/>
        <v>2.2564102564102564</v>
      </c>
      <c r="Y91">
        <v>15</v>
      </c>
      <c r="Z91">
        <v>35</v>
      </c>
      <c r="AA91">
        <v>13</v>
      </c>
      <c r="AB91" t="s">
        <v>5</v>
      </c>
      <c r="AC91">
        <f t="shared" si="6"/>
        <v>2.2564102564102564</v>
      </c>
      <c r="AJ91">
        <v>15</v>
      </c>
      <c r="AK91">
        <v>35</v>
      </c>
      <c r="AL91">
        <v>13</v>
      </c>
      <c r="AM91" t="s">
        <v>5</v>
      </c>
      <c r="AN91">
        <f t="shared" si="7"/>
        <v>2.2564102564102564</v>
      </c>
    </row>
    <row r="92" spans="3:40" x14ac:dyDescent="0.3">
      <c r="C92">
        <v>27</v>
      </c>
      <c r="D92">
        <v>50</v>
      </c>
      <c r="E92">
        <v>21</v>
      </c>
      <c r="F92" t="s">
        <v>6</v>
      </c>
      <c r="G92">
        <f t="shared" si="4"/>
        <v>1.8042328042328042</v>
      </c>
      <c r="H92">
        <f>GEOMEAN(G91:G92)</f>
        <v>2.0176940809802506</v>
      </c>
      <c r="N92">
        <v>27</v>
      </c>
      <c r="O92">
        <v>50</v>
      </c>
      <c r="P92">
        <v>21</v>
      </c>
      <c r="Q92" t="s">
        <v>5</v>
      </c>
      <c r="R92">
        <f t="shared" si="5"/>
        <v>1.8042328042328042</v>
      </c>
      <c r="Y92">
        <v>27</v>
      </c>
      <c r="Z92">
        <v>50</v>
      </c>
      <c r="AA92">
        <v>21</v>
      </c>
      <c r="AB92" t="s">
        <v>6</v>
      </c>
      <c r="AC92">
        <f t="shared" si="6"/>
        <v>1.8042328042328042</v>
      </c>
      <c r="AD92">
        <f>GEOMEAN(AC91:AC92)</f>
        <v>2.0176940809802506</v>
      </c>
      <c r="AJ92">
        <v>27</v>
      </c>
      <c r="AK92">
        <v>50</v>
      </c>
      <c r="AL92">
        <v>21</v>
      </c>
      <c r="AM92" t="s">
        <v>5</v>
      </c>
      <c r="AN92">
        <f t="shared" si="7"/>
        <v>1.8042328042328042</v>
      </c>
    </row>
    <row r="93" spans="3:40" x14ac:dyDescent="0.3">
      <c r="C93">
        <v>27</v>
      </c>
      <c r="D93">
        <v>50</v>
      </c>
      <c r="E93">
        <v>21</v>
      </c>
      <c r="F93" t="s">
        <v>6</v>
      </c>
      <c r="G93">
        <f t="shared" si="4"/>
        <v>1.8042328042328042</v>
      </c>
      <c r="N93">
        <v>27</v>
      </c>
      <c r="O93">
        <v>50</v>
      </c>
      <c r="P93">
        <v>21</v>
      </c>
      <c r="Q93" t="s">
        <v>5</v>
      </c>
      <c r="R93">
        <f t="shared" si="5"/>
        <v>1.8042328042328042</v>
      </c>
      <c r="Y93">
        <v>27</v>
      </c>
      <c r="Z93">
        <v>50</v>
      </c>
      <c r="AA93">
        <v>21</v>
      </c>
      <c r="AB93" t="s">
        <v>6</v>
      </c>
      <c r="AC93">
        <f t="shared" si="6"/>
        <v>1.8042328042328042</v>
      </c>
      <c r="AJ93">
        <v>27</v>
      </c>
      <c r="AK93">
        <v>50</v>
      </c>
      <c r="AL93">
        <v>21</v>
      </c>
      <c r="AM93" t="s">
        <v>5</v>
      </c>
      <c r="AN93">
        <f t="shared" si="7"/>
        <v>1.8042328042328042</v>
      </c>
    </row>
    <row r="94" spans="3:40" x14ac:dyDescent="0.3">
      <c r="C94">
        <v>27</v>
      </c>
      <c r="D94">
        <v>50</v>
      </c>
      <c r="E94">
        <v>21</v>
      </c>
      <c r="F94" t="s">
        <v>6</v>
      </c>
      <c r="G94">
        <f t="shared" si="4"/>
        <v>1.8042328042328042</v>
      </c>
      <c r="N94">
        <v>27</v>
      </c>
      <c r="O94">
        <v>50</v>
      </c>
      <c r="P94">
        <v>21</v>
      </c>
      <c r="Q94" t="s">
        <v>5</v>
      </c>
      <c r="R94">
        <f t="shared" si="5"/>
        <v>1.8042328042328042</v>
      </c>
      <c r="Y94">
        <v>27</v>
      </c>
      <c r="Z94">
        <v>50</v>
      </c>
      <c r="AA94">
        <v>21</v>
      </c>
      <c r="AB94" t="s">
        <v>6</v>
      </c>
      <c r="AC94">
        <f t="shared" si="6"/>
        <v>1.8042328042328042</v>
      </c>
      <c r="AJ94">
        <v>27</v>
      </c>
      <c r="AK94">
        <v>50</v>
      </c>
      <c r="AL94">
        <v>21</v>
      </c>
      <c r="AM94" t="s">
        <v>5</v>
      </c>
      <c r="AN94">
        <f t="shared" si="7"/>
        <v>1.8042328042328042</v>
      </c>
    </row>
    <row r="95" spans="3:40" x14ac:dyDescent="0.3">
      <c r="C95">
        <v>27</v>
      </c>
      <c r="D95">
        <v>50</v>
      </c>
      <c r="E95">
        <v>21</v>
      </c>
      <c r="F95" t="s">
        <v>6</v>
      </c>
      <c r="G95">
        <f t="shared" si="4"/>
        <v>1.8042328042328042</v>
      </c>
      <c r="N95">
        <v>27</v>
      </c>
      <c r="O95">
        <v>50</v>
      </c>
      <c r="P95">
        <v>21</v>
      </c>
      <c r="Q95" t="s">
        <v>5</v>
      </c>
      <c r="R95">
        <f t="shared" si="5"/>
        <v>1.8042328042328042</v>
      </c>
      <c r="Y95">
        <v>27</v>
      </c>
      <c r="Z95">
        <v>50</v>
      </c>
      <c r="AA95">
        <v>21</v>
      </c>
      <c r="AB95" t="s">
        <v>6</v>
      </c>
      <c r="AC95">
        <f t="shared" si="6"/>
        <v>1.8042328042328042</v>
      </c>
      <c r="AJ95">
        <v>27</v>
      </c>
      <c r="AK95">
        <v>50</v>
      </c>
      <c r="AL95">
        <v>21</v>
      </c>
      <c r="AM95" t="s">
        <v>5</v>
      </c>
      <c r="AN95">
        <f t="shared" si="7"/>
        <v>1.8042328042328042</v>
      </c>
    </row>
    <row r="96" spans="3:40" x14ac:dyDescent="0.3">
      <c r="C96">
        <v>27</v>
      </c>
      <c r="D96">
        <v>50</v>
      </c>
      <c r="E96">
        <v>21</v>
      </c>
      <c r="F96" t="s">
        <v>5</v>
      </c>
      <c r="G96">
        <f t="shared" si="4"/>
        <v>1.8042328042328042</v>
      </c>
      <c r="N96">
        <v>27</v>
      </c>
      <c r="O96">
        <v>50</v>
      </c>
      <c r="P96">
        <v>21</v>
      </c>
      <c r="Q96" t="s">
        <v>6</v>
      </c>
      <c r="R96">
        <f t="shared" si="5"/>
        <v>1.8042328042328042</v>
      </c>
      <c r="S96">
        <f>GEOMEAN(R95:R96)</f>
        <v>1.8042328042328042</v>
      </c>
      <c r="Y96">
        <v>27</v>
      </c>
      <c r="Z96">
        <v>50</v>
      </c>
      <c r="AA96">
        <v>21</v>
      </c>
      <c r="AB96" t="s">
        <v>5</v>
      </c>
      <c r="AC96">
        <f t="shared" si="6"/>
        <v>1.8042328042328042</v>
      </c>
      <c r="AJ96">
        <v>27</v>
      </c>
      <c r="AK96">
        <v>50</v>
      </c>
      <c r="AL96">
        <v>21</v>
      </c>
      <c r="AM96" t="s">
        <v>5</v>
      </c>
      <c r="AN96">
        <f t="shared" si="7"/>
        <v>1.8042328042328042</v>
      </c>
    </row>
    <row r="97" spans="3:41" x14ac:dyDescent="0.3">
      <c r="C97">
        <v>27</v>
      </c>
      <c r="D97">
        <v>50</v>
      </c>
      <c r="E97">
        <v>21</v>
      </c>
      <c r="F97" t="s">
        <v>6</v>
      </c>
      <c r="G97">
        <f t="shared" si="4"/>
        <v>1.8042328042328042</v>
      </c>
      <c r="H97">
        <f>GEOMEAN(G96:G97)</f>
        <v>1.8042328042328042</v>
      </c>
      <c r="N97">
        <v>27</v>
      </c>
      <c r="O97">
        <v>50</v>
      </c>
      <c r="P97">
        <v>21</v>
      </c>
      <c r="Q97" t="s">
        <v>5</v>
      </c>
      <c r="R97">
        <f t="shared" si="5"/>
        <v>1.8042328042328042</v>
      </c>
      <c r="Y97">
        <v>27</v>
      </c>
      <c r="Z97">
        <v>50</v>
      </c>
      <c r="AA97">
        <v>21</v>
      </c>
      <c r="AB97" t="s">
        <v>6</v>
      </c>
      <c r="AC97">
        <f t="shared" si="6"/>
        <v>1.8042328042328042</v>
      </c>
      <c r="AD97">
        <f>GEOMEAN(AC96:AC97)</f>
        <v>1.8042328042328042</v>
      </c>
      <c r="AJ97">
        <v>27</v>
      </c>
      <c r="AK97">
        <v>50</v>
      </c>
      <c r="AL97">
        <v>21</v>
      </c>
      <c r="AM97" t="s">
        <v>5</v>
      </c>
      <c r="AN97">
        <f t="shared" si="7"/>
        <v>1.8042328042328042</v>
      </c>
    </row>
    <row r="98" spans="3:41" x14ac:dyDescent="0.3">
      <c r="C98">
        <v>27</v>
      </c>
      <c r="D98">
        <v>50</v>
      </c>
      <c r="E98">
        <v>21</v>
      </c>
      <c r="F98" t="s">
        <v>6</v>
      </c>
      <c r="G98">
        <f t="shared" si="4"/>
        <v>1.8042328042328042</v>
      </c>
      <c r="N98">
        <v>27</v>
      </c>
      <c r="O98">
        <v>50</v>
      </c>
      <c r="P98">
        <v>21</v>
      </c>
      <c r="Q98" t="s">
        <v>5</v>
      </c>
      <c r="R98">
        <f t="shared" si="5"/>
        <v>1.8042328042328042</v>
      </c>
      <c r="Y98">
        <v>27</v>
      </c>
      <c r="Z98">
        <v>50</v>
      </c>
      <c r="AA98">
        <v>21</v>
      </c>
      <c r="AB98" t="s">
        <v>5</v>
      </c>
      <c r="AC98">
        <f t="shared" si="6"/>
        <v>1.8042328042328042</v>
      </c>
      <c r="AJ98">
        <v>27</v>
      </c>
      <c r="AK98">
        <v>50</v>
      </c>
      <c r="AL98">
        <v>21</v>
      </c>
      <c r="AM98" t="s">
        <v>5</v>
      </c>
      <c r="AN98">
        <f t="shared" si="7"/>
        <v>1.8042328042328042</v>
      </c>
    </row>
    <row r="99" spans="3:41" x14ac:dyDescent="0.3">
      <c r="C99">
        <v>27</v>
      </c>
      <c r="D99">
        <v>50</v>
      </c>
      <c r="E99">
        <v>21</v>
      </c>
      <c r="F99" t="s">
        <v>6</v>
      </c>
      <c r="G99">
        <f t="shared" si="4"/>
        <v>1.8042328042328042</v>
      </c>
      <c r="N99">
        <v>27</v>
      </c>
      <c r="O99">
        <v>50</v>
      </c>
      <c r="P99">
        <v>21</v>
      </c>
      <c r="Q99" t="s">
        <v>5</v>
      </c>
      <c r="R99">
        <f t="shared" si="5"/>
        <v>1.8042328042328042</v>
      </c>
      <c r="Y99">
        <v>27</v>
      </c>
      <c r="Z99">
        <v>50</v>
      </c>
      <c r="AA99">
        <v>21</v>
      </c>
      <c r="AB99" t="s">
        <v>5</v>
      </c>
      <c r="AC99">
        <f t="shared" si="6"/>
        <v>1.8042328042328042</v>
      </c>
      <c r="AJ99">
        <v>27</v>
      </c>
      <c r="AK99">
        <v>50</v>
      </c>
      <c r="AL99">
        <v>21</v>
      </c>
      <c r="AM99" t="s">
        <v>6</v>
      </c>
      <c r="AN99">
        <f t="shared" si="7"/>
        <v>1.8042328042328042</v>
      </c>
      <c r="AO99">
        <f>GEOMEAN(AN98:AN99)</f>
        <v>1.8042328042328042</v>
      </c>
    </row>
    <row r="100" spans="3:41" x14ac:dyDescent="0.3">
      <c r="C100">
        <v>27</v>
      </c>
      <c r="D100">
        <v>50</v>
      </c>
      <c r="E100">
        <v>21</v>
      </c>
      <c r="F100" t="s">
        <v>6</v>
      </c>
      <c r="G100">
        <f t="shared" si="4"/>
        <v>1.8042328042328042</v>
      </c>
      <c r="N100">
        <v>27</v>
      </c>
      <c r="O100">
        <v>50</v>
      </c>
      <c r="P100">
        <v>21</v>
      </c>
      <c r="Q100" t="s">
        <v>5</v>
      </c>
      <c r="R100">
        <f t="shared" si="5"/>
        <v>1.8042328042328042</v>
      </c>
      <c r="Y100">
        <v>27</v>
      </c>
      <c r="Z100">
        <v>50</v>
      </c>
      <c r="AA100">
        <v>21</v>
      </c>
      <c r="AB100" t="s">
        <v>6</v>
      </c>
      <c r="AC100">
        <f t="shared" si="6"/>
        <v>1.8042328042328042</v>
      </c>
      <c r="AD100">
        <f>GEOMEAN(AC99:AC100)</f>
        <v>1.8042328042328042</v>
      </c>
      <c r="AJ100">
        <v>27</v>
      </c>
      <c r="AK100">
        <v>50</v>
      </c>
      <c r="AL100">
        <v>21</v>
      </c>
      <c r="AM100" t="s">
        <v>6</v>
      </c>
      <c r="AN100">
        <f t="shared" si="7"/>
        <v>1.8042328042328042</v>
      </c>
    </row>
    <row r="101" spans="3:41" x14ac:dyDescent="0.3">
      <c r="C101">
        <v>27</v>
      </c>
      <c r="D101">
        <v>50</v>
      </c>
      <c r="E101">
        <v>21</v>
      </c>
      <c r="F101" t="s">
        <v>6</v>
      </c>
      <c r="G101">
        <f t="shared" si="4"/>
        <v>1.8042328042328042</v>
      </c>
      <c r="N101">
        <v>27</v>
      </c>
      <c r="O101">
        <v>50</v>
      </c>
      <c r="P101">
        <v>21</v>
      </c>
      <c r="Q101" t="s">
        <v>6</v>
      </c>
      <c r="R101">
        <f t="shared" si="5"/>
        <v>1.8042328042328042</v>
      </c>
      <c r="S101">
        <f>GEOMEAN(R100:R101)</f>
        <v>1.8042328042328042</v>
      </c>
      <c r="Y101">
        <v>27</v>
      </c>
      <c r="Z101">
        <v>50</v>
      </c>
      <c r="AA101">
        <v>21</v>
      </c>
      <c r="AB101" t="s">
        <v>5</v>
      </c>
      <c r="AC101">
        <f t="shared" si="6"/>
        <v>1.8042328042328042</v>
      </c>
      <c r="AJ101">
        <v>27</v>
      </c>
      <c r="AK101">
        <v>50</v>
      </c>
      <c r="AL101">
        <v>21</v>
      </c>
      <c r="AM101" t="s">
        <v>5</v>
      </c>
      <c r="AN101">
        <f t="shared" si="7"/>
        <v>1.8042328042328042</v>
      </c>
    </row>
    <row r="102" spans="3:41" x14ac:dyDescent="0.3">
      <c r="C102">
        <v>27</v>
      </c>
      <c r="D102">
        <v>50</v>
      </c>
      <c r="E102">
        <v>21</v>
      </c>
      <c r="F102" t="s">
        <v>5</v>
      </c>
      <c r="G102">
        <f t="shared" si="4"/>
        <v>1.8042328042328042</v>
      </c>
      <c r="N102">
        <v>27</v>
      </c>
      <c r="O102">
        <v>50</v>
      </c>
      <c r="P102">
        <v>21</v>
      </c>
      <c r="Q102" t="s">
        <v>5</v>
      </c>
      <c r="R102">
        <f t="shared" si="5"/>
        <v>1.8042328042328042</v>
      </c>
      <c r="Y102">
        <v>27</v>
      </c>
      <c r="Z102">
        <v>50</v>
      </c>
      <c r="AA102">
        <v>21</v>
      </c>
      <c r="AB102" t="s">
        <v>5</v>
      </c>
      <c r="AC102">
        <f t="shared" si="6"/>
        <v>1.8042328042328042</v>
      </c>
      <c r="AJ102">
        <v>27</v>
      </c>
      <c r="AK102">
        <v>50</v>
      </c>
      <c r="AL102">
        <v>21</v>
      </c>
      <c r="AM102" t="s">
        <v>5</v>
      </c>
      <c r="AN102">
        <f t="shared" si="7"/>
        <v>1.8042328042328042</v>
      </c>
    </row>
    <row r="103" spans="3:41" x14ac:dyDescent="0.3">
      <c r="C103">
        <v>27</v>
      </c>
      <c r="D103">
        <v>50</v>
      </c>
      <c r="E103">
        <v>21</v>
      </c>
      <c r="F103" t="s">
        <v>6</v>
      </c>
      <c r="G103">
        <f t="shared" si="4"/>
        <v>1.8042328042328042</v>
      </c>
      <c r="H103">
        <f>GEOMEAN(G102:G103)</f>
        <v>1.8042328042328042</v>
      </c>
      <c r="N103">
        <v>27</v>
      </c>
      <c r="O103">
        <v>50</v>
      </c>
      <c r="P103">
        <v>21</v>
      </c>
      <c r="Q103" t="s">
        <v>6</v>
      </c>
      <c r="R103">
        <f t="shared" si="5"/>
        <v>1.8042328042328042</v>
      </c>
      <c r="S103">
        <f>GEOMEAN(R102:R103)</f>
        <v>1.8042328042328042</v>
      </c>
      <c r="Y103">
        <v>27</v>
      </c>
      <c r="Z103">
        <v>50</v>
      </c>
      <c r="AA103">
        <v>21</v>
      </c>
      <c r="AB103" t="s">
        <v>5</v>
      </c>
      <c r="AC103">
        <f t="shared" si="6"/>
        <v>1.8042328042328042</v>
      </c>
      <c r="AJ103">
        <v>27</v>
      </c>
      <c r="AK103">
        <v>50</v>
      </c>
      <c r="AL103">
        <v>21</v>
      </c>
      <c r="AM103" t="s">
        <v>5</v>
      </c>
      <c r="AN103">
        <f t="shared" si="7"/>
        <v>1.8042328042328042</v>
      </c>
    </row>
    <row r="104" spans="3:41" x14ac:dyDescent="0.3">
      <c r="C104">
        <v>27</v>
      </c>
      <c r="D104">
        <v>50</v>
      </c>
      <c r="E104">
        <v>21</v>
      </c>
      <c r="F104" t="s">
        <v>6</v>
      </c>
      <c r="G104">
        <f t="shared" si="4"/>
        <v>1.8042328042328042</v>
      </c>
      <c r="N104">
        <v>27</v>
      </c>
      <c r="O104">
        <v>50</v>
      </c>
      <c r="P104">
        <v>21</v>
      </c>
      <c r="Q104" t="s">
        <v>6</v>
      </c>
      <c r="R104">
        <f t="shared" si="5"/>
        <v>1.8042328042328042</v>
      </c>
      <c r="Y104">
        <v>27</v>
      </c>
      <c r="Z104">
        <v>50</v>
      </c>
      <c r="AA104">
        <v>21</v>
      </c>
      <c r="AB104" t="s">
        <v>6</v>
      </c>
      <c r="AC104">
        <f t="shared" si="6"/>
        <v>1.8042328042328042</v>
      </c>
      <c r="AD104">
        <f>GEOMEAN(AC103:AC104)</f>
        <v>1.8042328042328042</v>
      </c>
      <c r="AJ104">
        <v>27</v>
      </c>
      <c r="AK104">
        <v>50</v>
      </c>
      <c r="AL104">
        <v>21</v>
      </c>
      <c r="AM104" t="s">
        <v>6</v>
      </c>
      <c r="AN104">
        <f t="shared" si="7"/>
        <v>1.8042328042328042</v>
      </c>
      <c r="AO104">
        <f>GEOMEAN(AN103:AN104)</f>
        <v>1.8042328042328042</v>
      </c>
    </row>
    <row r="105" spans="3:41" x14ac:dyDescent="0.3">
      <c r="C105">
        <v>27</v>
      </c>
      <c r="D105">
        <v>50</v>
      </c>
      <c r="E105">
        <v>21</v>
      </c>
      <c r="F105" t="s">
        <v>6</v>
      </c>
      <c r="G105">
        <f t="shared" si="4"/>
        <v>1.8042328042328042</v>
      </c>
      <c r="N105">
        <v>27</v>
      </c>
      <c r="O105">
        <v>50</v>
      </c>
      <c r="P105">
        <v>21</v>
      </c>
      <c r="Q105" t="s">
        <v>5</v>
      </c>
      <c r="R105">
        <f t="shared" si="5"/>
        <v>1.8042328042328042</v>
      </c>
      <c r="Y105">
        <v>27</v>
      </c>
      <c r="Z105">
        <v>50</v>
      </c>
      <c r="AA105">
        <v>21</v>
      </c>
      <c r="AB105" t="s">
        <v>5</v>
      </c>
      <c r="AC105">
        <f t="shared" si="6"/>
        <v>1.8042328042328042</v>
      </c>
      <c r="AJ105">
        <v>27</v>
      </c>
      <c r="AK105">
        <v>50</v>
      </c>
      <c r="AL105">
        <v>21</v>
      </c>
      <c r="AM105" t="s">
        <v>5</v>
      </c>
      <c r="AN105">
        <f t="shared" si="7"/>
        <v>1.8042328042328042</v>
      </c>
    </row>
    <row r="106" spans="3:41" x14ac:dyDescent="0.3">
      <c r="C106">
        <v>27</v>
      </c>
      <c r="D106">
        <v>50</v>
      </c>
      <c r="E106">
        <v>21</v>
      </c>
      <c r="F106" t="s">
        <v>6</v>
      </c>
      <c r="G106">
        <f t="shared" si="4"/>
        <v>1.8042328042328042</v>
      </c>
      <c r="N106">
        <v>27</v>
      </c>
      <c r="O106">
        <v>50</v>
      </c>
      <c r="P106">
        <v>21</v>
      </c>
      <c r="Q106" t="s">
        <v>6</v>
      </c>
      <c r="R106">
        <f t="shared" si="5"/>
        <v>1.8042328042328042</v>
      </c>
      <c r="S106">
        <f>GEOMEAN(R105:R106)</f>
        <v>1.8042328042328042</v>
      </c>
      <c r="Y106">
        <v>27</v>
      </c>
      <c r="Z106">
        <v>50</v>
      </c>
      <c r="AA106">
        <v>21</v>
      </c>
      <c r="AB106" t="s">
        <v>5</v>
      </c>
      <c r="AC106">
        <f t="shared" si="6"/>
        <v>1.8042328042328042</v>
      </c>
      <c r="AJ106">
        <v>27</v>
      </c>
      <c r="AK106">
        <v>50</v>
      </c>
      <c r="AL106">
        <v>21</v>
      </c>
      <c r="AM106" t="s">
        <v>5</v>
      </c>
      <c r="AN106">
        <f t="shared" si="7"/>
        <v>1.8042328042328042</v>
      </c>
    </row>
    <row r="108" spans="3:41" x14ac:dyDescent="0.3">
      <c r="Q108" t="s">
        <v>17</v>
      </c>
      <c r="R108" t="s">
        <v>18</v>
      </c>
    </row>
    <row r="109" spans="3:41" x14ac:dyDescent="0.3">
      <c r="Q109" t="s">
        <v>13</v>
      </c>
      <c r="R109">
        <v>2.0231305849672148</v>
      </c>
    </row>
    <row r="110" spans="3:41" x14ac:dyDescent="0.3">
      <c r="Q110" t="s">
        <v>14</v>
      </c>
      <c r="R110">
        <v>1.6596161309535484</v>
      </c>
    </row>
    <row r="111" spans="3:41" x14ac:dyDescent="0.3">
      <c r="Q111" t="s">
        <v>15</v>
      </c>
      <c r="R111">
        <v>1.5044512702358932</v>
      </c>
    </row>
    <row r="112" spans="3:41" x14ac:dyDescent="0.3">
      <c r="Q112" t="s">
        <v>16</v>
      </c>
      <c r="R112">
        <v>1.5020255242423652</v>
      </c>
    </row>
  </sheetData>
  <sortState xmlns:xlrd2="http://schemas.microsoft.com/office/spreadsheetml/2017/richdata2" ref="AJ2:AO108">
    <sortCondition ref="AN1:AN108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2025-11-04T13:48:59Z</dcterms:created>
  <dcterms:modified xsi:type="dcterms:W3CDTF">2025-11-06T15:00:21Z</dcterms:modified>
</cp:coreProperties>
</file>